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:\Mi unidad\Administracion Mesa Dulce\Costos\Costeo de Recetas\"/>
    </mc:Choice>
  </mc:AlternateContent>
  <xr:revisionPtr revIDLastSave="0" documentId="13_ncr:1_{E95ED410-778E-49F1-A4C5-9539168B547B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1) Planilla maestra insumos" sheetId="1" r:id="rId1"/>
    <sheet name="2) Recetas" sheetId="2" r:id="rId2"/>
    <sheet name="3) costo mp" sheetId="3" r:id="rId3"/>
    <sheet name="4) Packaging" sheetId="4" r:id="rId4"/>
    <sheet name="5) Costo final variables" sheetId="5" state="hidden" r:id="rId5"/>
    <sheet name="5) Costo total" sheetId="6" r:id="rId6"/>
    <sheet name="Tdinamica" sheetId="9" r:id="rId7"/>
    <sheet name="finales" sheetId="10" r:id="rId8"/>
    <sheet name="Lista de precios final" sheetId="7" r:id="rId9"/>
    <sheet name="Anexo 1" sheetId="8" r:id="rId10"/>
  </sheets>
  <definedNames>
    <definedName name="_xlnm._FilterDatabase" localSheetId="1" hidden="1">'2) Recetas'!$B$2:$J$207</definedName>
    <definedName name="_xlnm._FilterDatabase" localSheetId="3" hidden="1">'4) Packaging'!$B$3:$G$48</definedName>
    <definedName name="_xlnm._FilterDatabase" localSheetId="5" hidden="1">'5) Costo total'!$B$2:$P$35</definedName>
    <definedName name="Insumos">'1) Planilla maestra insumos'!$B$2:$F$99</definedName>
    <definedName name="Packaging">'4) Packaging'!$B$3:$G$1048576</definedName>
    <definedName name="Prodfinales">'3) costo mp'!#REF!</definedName>
    <definedName name="Recetas">'2) Recetas'!$B$2:$J$159</definedName>
    <definedName name="SegmentaciónDeDatos_Clasificacion">#N/A</definedName>
  </definedNames>
  <calcPr calcId="191029"/>
  <pivotCaches>
    <pivotCache cacheId="0" r:id="rId11"/>
    <pivotCache cacheId="15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0OGstacMcYKa9P1V0b+UNAxw79AjlNMM13T0R4fwIY="/>
    </ext>
  </extLst>
</workbook>
</file>

<file path=xl/calcChain.xml><?xml version="1.0" encoding="utf-8"?>
<calcChain xmlns="http://schemas.openxmlformats.org/spreadsheetml/2006/main">
  <c r="H5" i="10" l="1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4" i="10"/>
  <c r="D15" i="10"/>
  <c r="E15" i="10"/>
  <c r="C15" i="10"/>
  <c r="E6" i="10"/>
  <c r="K5" i="6"/>
  <c r="K6" i="6"/>
  <c r="K8" i="6"/>
  <c r="K9" i="6"/>
  <c r="K10" i="6"/>
  <c r="K12" i="6"/>
  <c r="K13" i="6"/>
  <c r="K15" i="6"/>
  <c r="K16" i="6"/>
  <c r="K17" i="6"/>
  <c r="K18" i="6"/>
  <c r="K19" i="6"/>
  <c r="K20" i="6"/>
  <c r="K22" i="6"/>
  <c r="K23" i="6"/>
  <c r="K24" i="6"/>
  <c r="K25" i="6"/>
  <c r="K27" i="6"/>
  <c r="K28" i="6"/>
  <c r="G4" i="9"/>
  <c r="I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D62" i="6"/>
  <c r="F62" i="6" s="1"/>
  <c r="D61" i="6"/>
  <c r="F61" i="6" s="1"/>
  <c r="D60" i="6"/>
  <c r="F60" i="6" s="1"/>
  <c r="D59" i="6"/>
  <c r="F59" i="6" s="1"/>
  <c r="D58" i="6"/>
  <c r="F58" i="6" s="1"/>
  <c r="D56" i="6"/>
  <c r="F56" i="6" s="1"/>
  <c r="H56" i="6" s="1"/>
  <c r="D57" i="6"/>
  <c r="F57" i="6" s="1"/>
  <c r="H57" i="6" s="1"/>
  <c r="D55" i="6"/>
  <c r="F55" i="6" s="1"/>
  <c r="G55" i="6"/>
  <c r="D42" i="6"/>
  <c r="F42" i="6" s="1"/>
  <c r="D41" i="6"/>
  <c r="F41" i="6" s="1"/>
  <c r="D40" i="6"/>
  <c r="F40" i="6" s="1"/>
  <c r="D39" i="6"/>
  <c r="F39" i="6" s="1"/>
  <c r="D36" i="6"/>
  <c r="F36" i="6" s="1"/>
  <c r="D37" i="6"/>
  <c r="F37" i="6" s="1"/>
  <c r="D38" i="6"/>
  <c r="F38" i="6" s="1"/>
  <c r="G36" i="6"/>
  <c r="D54" i="6"/>
  <c r="F54" i="6" s="1"/>
  <c r="D53" i="6"/>
  <c r="F53" i="6" s="1"/>
  <c r="D52" i="6"/>
  <c r="F52" i="6" s="1"/>
  <c r="D51" i="6"/>
  <c r="F51" i="6" s="1"/>
  <c r="G51" i="6"/>
  <c r="D49" i="6"/>
  <c r="F49" i="6" s="1"/>
  <c r="D50" i="6"/>
  <c r="F50" i="6" s="1"/>
  <c r="D48" i="6"/>
  <c r="F48" i="6" s="1"/>
  <c r="D47" i="6"/>
  <c r="F47" i="6" s="1"/>
  <c r="G46" i="6"/>
  <c r="D46" i="6"/>
  <c r="F46" i="6" s="1"/>
  <c r="H46" i="6" s="1"/>
  <c r="G7" i="6"/>
  <c r="G11" i="6"/>
  <c r="G14" i="6"/>
  <c r="G21" i="6"/>
  <c r="G26" i="6"/>
  <c r="G29" i="6"/>
  <c r="G30" i="6"/>
  <c r="G31" i="6"/>
  <c r="G32" i="6"/>
  <c r="G33" i="6"/>
  <c r="G34" i="6"/>
  <c r="G35" i="6"/>
  <c r="G43" i="6"/>
  <c r="G4" i="6"/>
  <c r="G3" i="6"/>
  <c r="D31" i="6"/>
  <c r="F31" i="6" s="1"/>
  <c r="D32" i="6"/>
  <c r="F32" i="6" s="1"/>
  <c r="D33" i="6"/>
  <c r="F33" i="6" s="1"/>
  <c r="D34" i="6"/>
  <c r="F34" i="6" s="1"/>
  <c r="D35" i="6"/>
  <c r="F35" i="6" s="1"/>
  <c r="D43" i="6"/>
  <c r="F43" i="6" s="1"/>
  <c r="D44" i="6"/>
  <c r="F44" i="6" s="1"/>
  <c r="D45" i="6"/>
  <c r="F45" i="6" s="1"/>
  <c r="D22" i="6"/>
  <c r="F22" i="6" s="1"/>
  <c r="D23" i="6"/>
  <c r="F23" i="6" s="1"/>
  <c r="D24" i="6"/>
  <c r="F24" i="6" s="1"/>
  <c r="D25" i="6"/>
  <c r="F25" i="6" s="1"/>
  <c r="D14" i="6"/>
  <c r="F14" i="6" s="1"/>
  <c r="D15" i="6"/>
  <c r="F15" i="6" s="1"/>
  <c r="D16" i="6"/>
  <c r="F16" i="6" s="1"/>
  <c r="D17" i="6"/>
  <c r="F17" i="6" s="1"/>
  <c r="D18" i="6"/>
  <c r="F18" i="6" s="1"/>
  <c r="D19" i="6"/>
  <c r="F19" i="6" s="1"/>
  <c r="D20" i="6"/>
  <c r="F20" i="6" s="1"/>
  <c r="D26" i="6"/>
  <c r="F26" i="6" s="1"/>
  <c r="D27" i="6"/>
  <c r="F27" i="6" s="1"/>
  <c r="D28" i="6"/>
  <c r="F28" i="6" s="1"/>
  <c r="D4" i="6"/>
  <c r="F4" i="6" s="1"/>
  <c r="D5" i="6"/>
  <c r="F5" i="6" s="1"/>
  <c r="D6" i="6"/>
  <c r="F6" i="6" s="1"/>
  <c r="D7" i="6"/>
  <c r="F7" i="6" s="1"/>
  <c r="D8" i="6"/>
  <c r="F8" i="6" s="1"/>
  <c r="D9" i="6"/>
  <c r="F9" i="6" s="1"/>
  <c r="D10" i="6"/>
  <c r="F10" i="6" s="1"/>
  <c r="D11" i="6"/>
  <c r="F11" i="6" s="1"/>
  <c r="D12" i="6"/>
  <c r="F12" i="6" s="1"/>
  <c r="D13" i="6"/>
  <c r="F13" i="6" s="1"/>
  <c r="D30" i="6"/>
  <c r="F30" i="6" s="1"/>
  <c r="D29" i="6"/>
  <c r="F29" i="6" s="1"/>
  <c r="D3" i="6"/>
  <c r="F3" i="6" s="1"/>
  <c r="D21" i="6"/>
  <c r="F21" i="6" s="1"/>
  <c r="E39" i="4"/>
  <c r="E42" i="4"/>
  <c r="E48" i="4"/>
  <c r="E45" i="4"/>
  <c r="E9" i="4"/>
  <c r="D46" i="4"/>
  <c r="D48" i="4"/>
  <c r="D45" i="4"/>
  <c r="F43" i="4"/>
  <c r="D43" i="4"/>
  <c r="F42" i="4"/>
  <c r="D42" i="4"/>
  <c r="F40" i="4"/>
  <c r="D40" i="4"/>
  <c r="D39" i="4"/>
  <c r="D37" i="4"/>
  <c r="E36" i="4"/>
  <c r="F36" i="4" s="1"/>
  <c r="D36" i="4"/>
  <c r="D34" i="4"/>
  <c r="F42" i="1"/>
  <c r="I182" i="2" s="1"/>
  <c r="G172" i="2"/>
  <c r="G173" i="2"/>
  <c r="H173" i="2" s="1"/>
  <c r="G174" i="2"/>
  <c r="H174" i="2" s="1"/>
  <c r="G175" i="2"/>
  <c r="G176" i="2"/>
  <c r="G177" i="2"/>
  <c r="G178" i="2"/>
  <c r="H178" i="2" s="1"/>
  <c r="G179" i="2"/>
  <c r="H179" i="2" s="1"/>
  <c r="G180" i="2"/>
  <c r="H180" i="2" s="1"/>
  <c r="G181" i="2"/>
  <c r="G182" i="2"/>
  <c r="H182" i="2" s="1"/>
  <c r="G183" i="2"/>
  <c r="H183" i="2" s="1"/>
  <c r="G171" i="2"/>
  <c r="H172" i="2"/>
  <c r="H175" i="2"/>
  <c r="H176" i="2"/>
  <c r="H177" i="2"/>
  <c r="E183" i="2"/>
  <c r="H171" i="2"/>
  <c r="F181" i="2"/>
  <c r="H181" i="2" s="1"/>
  <c r="F175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H185" i="2"/>
  <c r="H186" i="2"/>
  <c r="H187" i="2"/>
  <c r="H188" i="2"/>
  <c r="H189" i="2"/>
  <c r="H190" i="2"/>
  <c r="H191" i="2"/>
  <c r="H192" i="2"/>
  <c r="H194" i="2"/>
  <c r="H195" i="2"/>
  <c r="H184" i="2"/>
  <c r="E195" i="2"/>
  <c r="E194" i="2"/>
  <c r="F193" i="2"/>
  <c r="H193" i="2" s="1"/>
  <c r="E193" i="2"/>
  <c r="E192" i="2"/>
  <c r="E191" i="2"/>
  <c r="E190" i="2"/>
  <c r="E189" i="2"/>
  <c r="E188" i="2"/>
  <c r="E187" i="2"/>
  <c r="F186" i="2"/>
  <c r="E186" i="2"/>
  <c r="E185" i="2"/>
  <c r="E184" i="2"/>
  <c r="H161" i="2"/>
  <c r="H163" i="2"/>
  <c r="H164" i="2"/>
  <c r="H165" i="2"/>
  <c r="H166" i="2"/>
  <c r="H167" i="2"/>
  <c r="H168" i="2"/>
  <c r="H170" i="2"/>
  <c r="H160" i="2"/>
  <c r="F169" i="2"/>
  <c r="H169" i="2" s="1"/>
  <c r="F162" i="2"/>
  <c r="H162" i="2" s="1"/>
  <c r="I22" i="8"/>
  <c r="J21" i="8" s="1"/>
  <c r="J20" i="8"/>
  <c r="I15" i="8"/>
  <c r="J14" i="8" s="1"/>
  <c r="H14" i="8"/>
  <c r="H13" i="8"/>
  <c r="H12" i="8"/>
  <c r="E10" i="8"/>
  <c r="D9" i="8"/>
  <c r="E8" i="8"/>
  <c r="E7" i="8"/>
  <c r="C7" i="8"/>
  <c r="E6" i="8"/>
  <c r="E5" i="8"/>
  <c r="D5" i="8"/>
  <c r="E4" i="8"/>
  <c r="D4" i="8"/>
  <c r="E3" i="8"/>
  <c r="D3" i="8"/>
  <c r="L3" i="6"/>
  <c r="L29" i="6"/>
  <c r="L35" i="6"/>
  <c r="L34" i="6"/>
  <c r="L33" i="6"/>
  <c r="L32" i="6"/>
  <c r="L31" i="6"/>
  <c r="L30" i="6"/>
  <c r="L13" i="6"/>
  <c r="L12" i="6"/>
  <c r="L11" i="6"/>
  <c r="L10" i="6"/>
  <c r="L9" i="6"/>
  <c r="L8" i="6"/>
  <c r="L7" i="6"/>
  <c r="L6" i="6"/>
  <c r="L5" i="6"/>
  <c r="L4" i="6"/>
  <c r="L28" i="6"/>
  <c r="L27" i="6"/>
  <c r="L26" i="6"/>
  <c r="L20" i="6"/>
  <c r="L19" i="6"/>
  <c r="L18" i="6"/>
  <c r="L17" i="6"/>
  <c r="L16" i="6"/>
  <c r="L15" i="6"/>
  <c r="L14" i="6"/>
  <c r="L25" i="6"/>
  <c r="L24" i="6"/>
  <c r="L23" i="6"/>
  <c r="L22" i="6"/>
  <c r="L21" i="6"/>
  <c r="D51" i="5"/>
  <c r="F51" i="5" s="1"/>
  <c r="D49" i="5"/>
  <c r="F49" i="5" s="1"/>
  <c r="D47" i="5"/>
  <c r="F47" i="5" s="1"/>
  <c r="D45" i="5"/>
  <c r="F45" i="5" s="1"/>
  <c r="D43" i="5"/>
  <c r="F43" i="5" s="1"/>
  <c r="D41" i="5"/>
  <c r="F41" i="5" s="1"/>
  <c r="D39" i="5"/>
  <c r="F39" i="5" s="1"/>
  <c r="D37" i="5"/>
  <c r="F37" i="5" s="1"/>
  <c r="D35" i="5"/>
  <c r="F35" i="5" s="1"/>
  <c r="D34" i="5"/>
  <c r="F34" i="5" s="1"/>
  <c r="D33" i="5"/>
  <c r="F33" i="5" s="1"/>
  <c r="D31" i="5"/>
  <c r="F31" i="5" s="1"/>
  <c r="D30" i="5"/>
  <c r="F30" i="5" s="1"/>
  <c r="D29" i="5"/>
  <c r="F29" i="5" s="1"/>
  <c r="D28" i="5"/>
  <c r="F28" i="5" s="1"/>
  <c r="D26" i="5"/>
  <c r="F26" i="5" s="1"/>
  <c r="D25" i="5"/>
  <c r="F25" i="5" s="1"/>
  <c r="D24" i="5"/>
  <c r="F24" i="5" s="1"/>
  <c r="D22" i="5"/>
  <c r="F22" i="5" s="1"/>
  <c r="D21" i="5"/>
  <c r="F21" i="5" s="1"/>
  <c r="D20" i="5"/>
  <c r="F20" i="5" s="1"/>
  <c r="D18" i="5"/>
  <c r="F18" i="5" s="1"/>
  <c r="D17" i="5"/>
  <c r="F17" i="5" s="1"/>
  <c r="D16" i="5"/>
  <c r="F16" i="5" s="1"/>
  <c r="D15" i="5"/>
  <c r="F15" i="5" s="1"/>
  <c r="D14" i="5"/>
  <c r="F14" i="5" s="1"/>
  <c r="D13" i="5"/>
  <c r="F13" i="5" s="1"/>
  <c r="D12" i="5"/>
  <c r="F12" i="5" s="1"/>
  <c r="D11" i="5"/>
  <c r="F11" i="5" s="1"/>
  <c r="D9" i="5"/>
  <c r="F9" i="5" s="1"/>
  <c r="D8" i="5"/>
  <c r="F8" i="5" s="1"/>
  <c r="D7" i="5"/>
  <c r="F7" i="5" s="1"/>
  <c r="D6" i="5"/>
  <c r="F6" i="5" s="1"/>
  <c r="D5" i="5"/>
  <c r="F5" i="5" s="1"/>
  <c r="D4" i="5"/>
  <c r="F4" i="5" s="1"/>
  <c r="D3" i="5"/>
  <c r="F3" i="5" s="1"/>
  <c r="E33" i="4"/>
  <c r="D33" i="4"/>
  <c r="D31" i="4"/>
  <c r="E30" i="4"/>
  <c r="D30" i="4"/>
  <c r="D28" i="4"/>
  <c r="E27" i="4"/>
  <c r="D27" i="4"/>
  <c r="D25" i="4"/>
  <c r="E24" i="4"/>
  <c r="D24" i="4"/>
  <c r="D22" i="4"/>
  <c r="E21" i="4"/>
  <c r="D21" i="4"/>
  <c r="D19" i="4"/>
  <c r="E18" i="4"/>
  <c r="D18" i="4"/>
  <c r="D16" i="4"/>
  <c r="E15" i="4"/>
  <c r="D15" i="4"/>
  <c r="D13" i="4"/>
  <c r="E12" i="4"/>
  <c r="D12" i="4"/>
  <c r="D10" i="4"/>
  <c r="D9" i="4"/>
  <c r="D7" i="4"/>
  <c r="E6" i="4"/>
  <c r="D6" i="4"/>
  <c r="D4" i="4"/>
  <c r="E170" i="2"/>
  <c r="E169" i="2"/>
  <c r="E168" i="2"/>
  <c r="E167" i="2"/>
  <c r="E166" i="2"/>
  <c r="E165" i="2"/>
  <c r="E164" i="2"/>
  <c r="E163" i="2"/>
  <c r="E162" i="2"/>
  <c r="E161" i="2"/>
  <c r="M160" i="2"/>
  <c r="E160" i="2"/>
  <c r="H159" i="2"/>
  <c r="E159" i="2"/>
  <c r="H158" i="2"/>
  <c r="E158" i="2"/>
  <c r="H157" i="2"/>
  <c r="E157" i="2"/>
  <c r="H156" i="2"/>
  <c r="E156" i="2"/>
  <c r="H155" i="2"/>
  <c r="E155" i="2"/>
  <c r="H154" i="2"/>
  <c r="E154" i="2"/>
  <c r="H153" i="2"/>
  <c r="E153" i="2"/>
  <c r="H152" i="2"/>
  <c r="E152" i="2"/>
  <c r="H151" i="2"/>
  <c r="E151" i="2"/>
  <c r="H150" i="2"/>
  <c r="E150" i="2"/>
  <c r="H149" i="2"/>
  <c r="E149" i="2"/>
  <c r="H148" i="2"/>
  <c r="E148" i="2"/>
  <c r="H147" i="2"/>
  <c r="E147" i="2"/>
  <c r="H146" i="2"/>
  <c r="E146" i="2"/>
  <c r="H145" i="2"/>
  <c r="E145" i="2"/>
  <c r="H144" i="2"/>
  <c r="E144" i="2"/>
  <c r="H143" i="2"/>
  <c r="E143" i="2"/>
  <c r="H142" i="2"/>
  <c r="E142" i="2"/>
  <c r="F141" i="2"/>
  <c r="H141" i="2" s="1"/>
  <c r="E141" i="2"/>
  <c r="H140" i="2"/>
  <c r="E140" i="2"/>
  <c r="H139" i="2"/>
  <c r="E139" i="2"/>
  <c r="H138" i="2"/>
  <c r="E138" i="2"/>
  <c r="H137" i="2"/>
  <c r="E137" i="2"/>
  <c r="H136" i="2"/>
  <c r="E136" i="2"/>
  <c r="H135" i="2"/>
  <c r="E135" i="2"/>
  <c r="H134" i="2"/>
  <c r="E134" i="2"/>
  <c r="H133" i="2"/>
  <c r="E133" i="2"/>
  <c r="H132" i="2"/>
  <c r="E132" i="2"/>
  <c r="H131" i="2"/>
  <c r="E131" i="2"/>
  <c r="H130" i="2"/>
  <c r="E130" i="2"/>
  <c r="H129" i="2"/>
  <c r="E129" i="2"/>
  <c r="H128" i="2"/>
  <c r="E128" i="2"/>
  <c r="H127" i="2"/>
  <c r="E127" i="2"/>
  <c r="H126" i="2"/>
  <c r="E126" i="2"/>
  <c r="H125" i="2"/>
  <c r="E125" i="2"/>
  <c r="H124" i="2"/>
  <c r="E124" i="2"/>
  <c r="H123" i="2"/>
  <c r="E123" i="2"/>
  <c r="H122" i="2"/>
  <c r="E122" i="2"/>
  <c r="H121" i="2"/>
  <c r="E121" i="2"/>
  <c r="H120" i="2"/>
  <c r="E120" i="2"/>
  <c r="H119" i="2"/>
  <c r="E119" i="2"/>
  <c r="H118" i="2"/>
  <c r="E118" i="2"/>
  <c r="F117" i="2"/>
  <c r="H117" i="2" s="1"/>
  <c r="E117" i="2"/>
  <c r="H116" i="2"/>
  <c r="E116" i="2"/>
  <c r="H115" i="2"/>
  <c r="E115" i="2"/>
  <c r="H114" i="2"/>
  <c r="E114" i="2"/>
  <c r="H113" i="2"/>
  <c r="E113" i="2"/>
  <c r="H112" i="2"/>
  <c r="E112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E105" i="2"/>
  <c r="H104" i="2"/>
  <c r="E104" i="2"/>
  <c r="H103" i="2"/>
  <c r="E103" i="2"/>
  <c r="H102" i="2"/>
  <c r="E102" i="2"/>
  <c r="H101" i="2"/>
  <c r="E101" i="2"/>
  <c r="H100" i="2"/>
  <c r="E100" i="2"/>
  <c r="H99" i="2"/>
  <c r="E99" i="2"/>
  <c r="H98" i="2"/>
  <c r="E98" i="2"/>
  <c r="H97" i="2"/>
  <c r="E97" i="2"/>
  <c r="H96" i="2"/>
  <c r="E96" i="2"/>
  <c r="H95" i="2"/>
  <c r="E95" i="2"/>
  <c r="H94" i="2"/>
  <c r="E94" i="2"/>
  <c r="H93" i="2"/>
  <c r="E93" i="2"/>
  <c r="H92" i="2"/>
  <c r="E92" i="2"/>
  <c r="H91" i="2"/>
  <c r="E91" i="2"/>
  <c r="H90" i="2"/>
  <c r="E90" i="2"/>
  <c r="H89" i="2"/>
  <c r="E89" i="2"/>
  <c r="H88" i="2"/>
  <c r="E88" i="2"/>
  <c r="H87" i="2"/>
  <c r="E87" i="2"/>
  <c r="H86" i="2"/>
  <c r="E86" i="2"/>
  <c r="H85" i="2"/>
  <c r="E85" i="2"/>
  <c r="H84" i="2"/>
  <c r="E84" i="2"/>
  <c r="H83" i="2"/>
  <c r="E83" i="2"/>
  <c r="H82" i="2"/>
  <c r="E82" i="2"/>
  <c r="H81" i="2"/>
  <c r="E81" i="2"/>
  <c r="H80" i="2"/>
  <c r="E80" i="2"/>
  <c r="H79" i="2"/>
  <c r="E79" i="2"/>
  <c r="H78" i="2"/>
  <c r="E78" i="2"/>
  <c r="H77" i="2"/>
  <c r="E77" i="2"/>
  <c r="H76" i="2"/>
  <c r="E76" i="2"/>
  <c r="H75" i="2"/>
  <c r="E75" i="2"/>
  <c r="H74" i="2"/>
  <c r="E74" i="2"/>
  <c r="H73" i="2"/>
  <c r="E73" i="2"/>
  <c r="H72" i="2"/>
  <c r="E72" i="2"/>
  <c r="H71" i="2"/>
  <c r="E71" i="2"/>
  <c r="H70" i="2"/>
  <c r="E70" i="2"/>
  <c r="H69" i="2"/>
  <c r="E69" i="2"/>
  <c r="H68" i="2"/>
  <c r="E68" i="2"/>
  <c r="H67" i="2"/>
  <c r="E67" i="2"/>
  <c r="H66" i="2"/>
  <c r="E66" i="2"/>
  <c r="H65" i="2"/>
  <c r="E65" i="2"/>
  <c r="H64" i="2"/>
  <c r="E64" i="2"/>
  <c r="H63" i="2"/>
  <c r="E63" i="2"/>
  <c r="H62" i="2"/>
  <c r="E62" i="2"/>
  <c r="H61" i="2"/>
  <c r="E61" i="2"/>
  <c r="H60" i="2"/>
  <c r="E60" i="2"/>
  <c r="H59" i="2"/>
  <c r="E59" i="2"/>
  <c r="H58" i="2"/>
  <c r="E58" i="2"/>
  <c r="H57" i="2"/>
  <c r="E57" i="2"/>
  <c r="H56" i="2"/>
  <c r="E56" i="2"/>
  <c r="H55" i="2"/>
  <c r="E55" i="2"/>
  <c r="H54" i="2"/>
  <c r="E54" i="2"/>
  <c r="H53" i="2"/>
  <c r="E53" i="2"/>
  <c r="H52" i="2"/>
  <c r="E52" i="2"/>
  <c r="H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39" i="2"/>
  <c r="E39" i="2"/>
  <c r="H38" i="2"/>
  <c r="E38" i="2"/>
  <c r="H37" i="2"/>
  <c r="E37" i="2"/>
  <c r="H36" i="2"/>
  <c r="E36" i="2"/>
  <c r="H35" i="2"/>
  <c r="E35" i="2"/>
  <c r="H34" i="2"/>
  <c r="E34" i="2"/>
  <c r="H33" i="2"/>
  <c r="E33" i="2"/>
  <c r="H32" i="2"/>
  <c r="E32" i="2"/>
  <c r="H31" i="2"/>
  <c r="E31" i="2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H12" i="2"/>
  <c r="E12" i="2"/>
  <c r="I11" i="2"/>
  <c r="H11" i="2"/>
  <c r="E11" i="2"/>
  <c r="H10" i="2"/>
  <c r="E10" i="2"/>
  <c r="H9" i="2"/>
  <c r="E9" i="2"/>
  <c r="H8" i="2"/>
  <c r="E8" i="2"/>
  <c r="H7" i="2"/>
  <c r="E7" i="2"/>
  <c r="H6" i="2"/>
  <c r="E6" i="2"/>
  <c r="H5" i="2"/>
  <c r="E5" i="2"/>
  <c r="H4" i="2"/>
  <c r="E4" i="2"/>
  <c r="H3" i="2"/>
  <c r="E3" i="2"/>
  <c r="F41" i="1"/>
  <c r="I152" i="2" s="1"/>
  <c r="F40" i="1"/>
  <c r="F47" i="4" s="1"/>
  <c r="F39" i="1"/>
  <c r="I142" i="2" s="1"/>
  <c r="F38" i="1"/>
  <c r="I48" i="2" s="1"/>
  <c r="F37" i="1"/>
  <c r="I94" i="2" s="1"/>
  <c r="F36" i="1"/>
  <c r="F48" i="4" s="1"/>
  <c r="F35" i="1"/>
  <c r="I19" i="2" s="1"/>
  <c r="F34" i="1"/>
  <c r="I63" i="2" s="1"/>
  <c r="F33" i="1"/>
  <c r="I86" i="2" s="1"/>
  <c r="F32" i="1"/>
  <c r="I141" i="2" s="1"/>
  <c r="F31" i="1"/>
  <c r="F30" i="1"/>
  <c r="I33" i="2" s="1"/>
  <c r="F29" i="1"/>
  <c r="I136" i="2" s="1"/>
  <c r="F28" i="1"/>
  <c r="I15" i="2" s="1"/>
  <c r="F27" i="1"/>
  <c r="I138" i="2" s="1"/>
  <c r="F26" i="1"/>
  <c r="F25" i="1"/>
  <c r="F24" i="1"/>
  <c r="I188" i="2" s="1"/>
  <c r="F23" i="1"/>
  <c r="F22" i="1"/>
  <c r="F21" i="1"/>
  <c r="F20" i="1"/>
  <c r="I28" i="2" s="1"/>
  <c r="F19" i="1"/>
  <c r="F18" i="1"/>
  <c r="F17" i="1"/>
  <c r="F16" i="1"/>
  <c r="F15" i="1"/>
  <c r="F19" i="4" s="1"/>
  <c r="F14" i="1"/>
  <c r="F25" i="4" s="1"/>
  <c r="F13" i="1"/>
  <c r="I125" i="2" s="1"/>
  <c r="F12" i="1"/>
  <c r="F11" i="1"/>
  <c r="F10" i="1"/>
  <c r="I73" i="2" s="1"/>
  <c r="F9" i="1"/>
  <c r="I84" i="2" s="1"/>
  <c r="F8" i="1"/>
  <c r="I175" i="2" s="1"/>
  <c r="F7" i="1"/>
  <c r="I62" i="2" s="1"/>
  <c r="F6" i="1"/>
  <c r="I23" i="2" s="1"/>
  <c r="F5" i="1"/>
  <c r="I32" i="2" s="1"/>
  <c r="F4" i="1"/>
  <c r="I65" i="2" s="1"/>
  <c r="F3" i="1"/>
  <c r="I51" i="2" s="1"/>
  <c r="H36" i="6" l="1"/>
  <c r="H43" i="6"/>
  <c r="H58" i="6"/>
  <c r="H62" i="6"/>
  <c r="H61" i="6"/>
  <c r="H60" i="6"/>
  <c r="H59" i="6"/>
  <c r="H55" i="6"/>
  <c r="H54" i="6"/>
  <c r="H52" i="6"/>
  <c r="H53" i="6"/>
  <c r="H51" i="6"/>
  <c r="M22" i="6"/>
  <c r="O22" i="6" s="1"/>
  <c r="M20" i="6"/>
  <c r="O20" i="6" s="1"/>
  <c r="M6" i="6"/>
  <c r="O6" i="6" s="1"/>
  <c r="M12" i="6"/>
  <c r="O12" i="6" s="1"/>
  <c r="M10" i="6"/>
  <c r="O10" i="6" s="1"/>
  <c r="M25" i="6"/>
  <c r="O25" i="6" s="1"/>
  <c r="F41" i="4"/>
  <c r="F34" i="4"/>
  <c r="F44" i="4"/>
  <c r="F35" i="4"/>
  <c r="F45" i="4"/>
  <c r="F37" i="4"/>
  <c r="F38" i="4"/>
  <c r="F46" i="4"/>
  <c r="G46" i="4" s="1"/>
  <c r="F39" i="4"/>
  <c r="G37" i="4" s="1"/>
  <c r="G34" i="4"/>
  <c r="G40" i="4"/>
  <c r="M9" i="6"/>
  <c r="O9" i="6" s="1"/>
  <c r="M24" i="6"/>
  <c r="O24" i="6" s="1"/>
  <c r="M19" i="6"/>
  <c r="O19" i="6" s="1"/>
  <c r="M16" i="6"/>
  <c r="O16" i="6" s="1"/>
  <c r="M27" i="6"/>
  <c r="O27" i="6" s="1"/>
  <c r="M8" i="6"/>
  <c r="O8" i="6" s="1"/>
  <c r="M13" i="6"/>
  <c r="O13" i="6" s="1"/>
  <c r="M15" i="6"/>
  <c r="O15" i="6" s="1"/>
  <c r="M23" i="6"/>
  <c r="O23" i="6" s="1"/>
  <c r="M17" i="6"/>
  <c r="O17" i="6" s="1"/>
  <c r="M28" i="6"/>
  <c r="O28" i="6" s="1"/>
  <c r="M18" i="6"/>
  <c r="O18" i="6" s="1"/>
  <c r="M5" i="6"/>
  <c r="O5" i="6" s="1"/>
  <c r="I111" i="2"/>
  <c r="J111" i="2" s="1"/>
  <c r="I35" i="2"/>
  <c r="J35" i="2" s="1"/>
  <c r="I89" i="2"/>
  <c r="J89" i="2" s="1"/>
  <c r="I7" i="2"/>
  <c r="J7" i="2" s="1"/>
  <c r="I21" i="2"/>
  <c r="J21" i="2" s="1"/>
  <c r="I45" i="2"/>
  <c r="J45" i="2" s="1"/>
  <c r="I53" i="2"/>
  <c r="J53" i="2" s="1"/>
  <c r="I85" i="2"/>
  <c r="J85" i="2" s="1"/>
  <c r="I10" i="2"/>
  <c r="J10" i="2" s="1"/>
  <c r="I79" i="2"/>
  <c r="J79" i="2" s="1"/>
  <c r="I127" i="2"/>
  <c r="J127" i="2" s="1"/>
  <c r="I113" i="2"/>
  <c r="J113" i="2" s="1"/>
  <c r="F4" i="4"/>
  <c r="I59" i="2"/>
  <c r="J59" i="2" s="1"/>
  <c r="I26" i="2"/>
  <c r="J26" i="2" s="1"/>
  <c r="I41" i="2"/>
  <c r="J41" i="2" s="1"/>
  <c r="I107" i="2"/>
  <c r="J107" i="2" s="1"/>
  <c r="I135" i="2"/>
  <c r="J135" i="2" s="1"/>
  <c r="I42" i="2"/>
  <c r="J42" i="2" s="1"/>
  <c r="I93" i="2"/>
  <c r="J93" i="2" s="1"/>
  <c r="I129" i="2"/>
  <c r="J129" i="2" s="1"/>
  <c r="F22" i="4"/>
  <c r="I181" i="2"/>
  <c r="J181" i="2" s="1"/>
  <c r="I57" i="2"/>
  <c r="J57" i="2" s="1"/>
  <c r="I169" i="2"/>
  <c r="J169" i="2" s="1"/>
  <c r="I180" i="2"/>
  <c r="J180" i="2" s="1"/>
  <c r="I101" i="2"/>
  <c r="J101" i="2" s="1"/>
  <c r="I43" i="2"/>
  <c r="J43" i="2" s="1"/>
  <c r="I130" i="2"/>
  <c r="J130" i="2" s="1"/>
  <c r="F10" i="4"/>
  <c r="I167" i="2"/>
  <c r="J167" i="2" s="1"/>
  <c r="I194" i="2"/>
  <c r="J194" i="2" s="1"/>
  <c r="I179" i="2"/>
  <c r="J179" i="2" s="1"/>
  <c r="I49" i="2"/>
  <c r="J49" i="2" s="1"/>
  <c r="I30" i="2"/>
  <c r="J30" i="2" s="1"/>
  <c r="I166" i="2"/>
  <c r="J166" i="2" s="1"/>
  <c r="I193" i="2"/>
  <c r="J193" i="2" s="1"/>
  <c r="I177" i="2"/>
  <c r="J177" i="2" s="1"/>
  <c r="I117" i="2"/>
  <c r="J117" i="2" s="1"/>
  <c r="I165" i="2"/>
  <c r="J165" i="2" s="1"/>
  <c r="I191" i="2"/>
  <c r="J191" i="2" s="1"/>
  <c r="I164" i="2"/>
  <c r="J164" i="2" s="1"/>
  <c r="I190" i="2"/>
  <c r="J190" i="2" s="1"/>
  <c r="I173" i="2"/>
  <c r="J173" i="2" s="1"/>
  <c r="F28" i="4"/>
  <c r="I163" i="2"/>
  <c r="J163" i="2" s="1"/>
  <c r="I189" i="2"/>
  <c r="J189" i="2" s="1"/>
  <c r="I172" i="2"/>
  <c r="J172" i="2" s="1"/>
  <c r="I25" i="2"/>
  <c r="J25" i="2" s="1"/>
  <c r="I162" i="2"/>
  <c r="J162" i="2" s="1"/>
  <c r="I187" i="2"/>
  <c r="J187" i="2" s="1"/>
  <c r="I171" i="2"/>
  <c r="J171" i="2" s="1"/>
  <c r="I170" i="2"/>
  <c r="J170" i="2" s="1"/>
  <c r="I186" i="2"/>
  <c r="J186" i="2" s="1"/>
  <c r="I119" i="2"/>
  <c r="J119" i="2" s="1"/>
  <c r="F31" i="4"/>
  <c r="I71" i="2"/>
  <c r="J71" i="2" s="1"/>
  <c r="I115" i="2"/>
  <c r="J115" i="2" s="1"/>
  <c r="I192" i="2"/>
  <c r="J192" i="2" s="1"/>
  <c r="F30" i="4"/>
  <c r="I3" i="2"/>
  <c r="J3" i="2" s="1"/>
  <c r="I178" i="2"/>
  <c r="J178" i="2" s="1"/>
  <c r="I75" i="2"/>
  <c r="J75" i="2" s="1"/>
  <c r="I160" i="2"/>
  <c r="J160" i="2" s="1"/>
  <c r="I184" i="2"/>
  <c r="J184" i="2" s="1"/>
  <c r="I50" i="2"/>
  <c r="J50" i="2" s="1"/>
  <c r="I195" i="2"/>
  <c r="J195" i="2" s="1"/>
  <c r="I38" i="2"/>
  <c r="J38" i="2" s="1"/>
  <c r="I122" i="2"/>
  <c r="J122" i="2" s="1"/>
  <c r="I183" i="2"/>
  <c r="J183" i="2" s="1"/>
  <c r="I5" i="2"/>
  <c r="J5" i="2" s="1"/>
  <c r="I161" i="2"/>
  <c r="J161" i="2" s="1"/>
  <c r="I22" i="2"/>
  <c r="J22" i="2" s="1"/>
  <c r="I176" i="2"/>
  <c r="J176" i="2" s="1"/>
  <c r="I185" i="2"/>
  <c r="J185" i="2" s="1"/>
  <c r="I13" i="2"/>
  <c r="J13" i="2" s="1"/>
  <c r="I31" i="2"/>
  <c r="J31" i="2" s="1"/>
  <c r="I174" i="2"/>
  <c r="J174" i="2" s="1"/>
  <c r="I47" i="2"/>
  <c r="J47" i="2" s="1"/>
  <c r="F24" i="4"/>
  <c r="I168" i="2"/>
  <c r="J168" i="2" s="1"/>
  <c r="I29" i="2"/>
  <c r="J29" i="2" s="1"/>
  <c r="I105" i="2"/>
  <c r="J105" i="2" s="1"/>
  <c r="I118" i="2"/>
  <c r="J118" i="2" s="1"/>
  <c r="I131" i="2"/>
  <c r="J131" i="2" s="1"/>
  <c r="F12" i="4"/>
  <c r="I139" i="2"/>
  <c r="J139" i="2" s="1"/>
  <c r="J182" i="2"/>
  <c r="J175" i="2"/>
  <c r="J188" i="2"/>
  <c r="J11" i="2"/>
  <c r="J19" i="2"/>
  <c r="J152" i="2"/>
  <c r="J94" i="2"/>
  <c r="J48" i="2"/>
  <c r="J62" i="2"/>
  <c r="J73" i="2"/>
  <c r="J51" i="2"/>
  <c r="J63" i="2"/>
  <c r="J32" i="2"/>
  <c r="J138" i="2"/>
  <c r="J86" i="2"/>
  <c r="J28" i="2"/>
  <c r="J125" i="2"/>
  <c r="J65" i="2"/>
  <c r="I140" i="2"/>
  <c r="J140" i="2" s="1"/>
  <c r="I116" i="2"/>
  <c r="J116" i="2" s="1"/>
  <c r="I72" i="2"/>
  <c r="J72" i="2" s="1"/>
  <c r="I103" i="2"/>
  <c r="J103" i="2" s="1"/>
  <c r="I95" i="2"/>
  <c r="J95" i="2" s="1"/>
  <c r="I83" i="2"/>
  <c r="J83" i="2" s="1"/>
  <c r="I150" i="2"/>
  <c r="J150" i="2" s="1"/>
  <c r="I90" i="2"/>
  <c r="J90" i="2" s="1"/>
  <c r="I78" i="2"/>
  <c r="J78" i="2" s="1"/>
  <c r="I128" i="2"/>
  <c r="J128" i="2" s="1"/>
  <c r="I44" i="2"/>
  <c r="J44" i="2" s="1"/>
  <c r="I56" i="2"/>
  <c r="J56" i="2" s="1"/>
  <c r="F26" i="4"/>
  <c r="F5" i="4"/>
  <c r="F32" i="4"/>
  <c r="F11" i="4"/>
  <c r="F23" i="4"/>
  <c r="F29" i="4"/>
  <c r="F8" i="4"/>
  <c r="F14" i="4"/>
  <c r="F20" i="4"/>
  <c r="I55" i="2"/>
  <c r="J55" i="2" s="1"/>
  <c r="J33" i="2"/>
  <c r="I81" i="2"/>
  <c r="J81" i="2" s="1"/>
  <c r="F17" i="4"/>
  <c r="I102" i="2"/>
  <c r="J102" i="2" s="1"/>
  <c r="I149" i="2"/>
  <c r="J149" i="2" s="1"/>
  <c r="I58" i="2"/>
  <c r="J58" i="2" s="1"/>
  <c r="I137" i="2"/>
  <c r="J137" i="2" s="1"/>
  <c r="I100" i="2"/>
  <c r="J100" i="2" s="1"/>
  <c r="I80" i="2"/>
  <c r="J80" i="2" s="1"/>
  <c r="I147" i="2"/>
  <c r="J147" i="2" s="1"/>
  <c r="I91" i="2"/>
  <c r="J91" i="2" s="1"/>
  <c r="I9" i="2"/>
  <c r="J9" i="2" s="1"/>
  <c r="J15" i="2"/>
  <c r="I27" i="2"/>
  <c r="J27" i="2" s="1"/>
  <c r="I39" i="2"/>
  <c r="J39" i="2" s="1"/>
  <c r="I61" i="2"/>
  <c r="J61" i="2" s="1"/>
  <c r="F6" i="4"/>
  <c r="F18" i="4"/>
  <c r="I77" i="2"/>
  <c r="J77" i="2" s="1"/>
  <c r="J141" i="2"/>
  <c r="I4" i="2"/>
  <c r="J4" i="2" s="1"/>
  <c r="I12" i="2"/>
  <c r="J12" i="2" s="1"/>
  <c r="I74" i="2"/>
  <c r="J74" i="2" s="1"/>
  <c r="I17" i="2"/>
  <c r="J17" i="2" s="1"/>
  <c r="J23" i="2"/>
  <c r="I46" i="2"/>
  <c r="J46" i="2" s="1"/>
  <c r="I156" i="2"/>
  <c r="J156" i="2" s="1"/>
  <c r="J142" i="2"/>
  <c r="I106" i="2"/>
  <c r="J106" i="2" s="1"/>
  <c r="I153" i="2"/>
  <c r="J153" i="2" s="1"/>
  <c r="F15" i="4"/>
  <c r="F9" i="4"/>
  <c r="F27" i="4"/>
  <c r="I123" i="2"/>
  <c r="J123" i="2" s="1"/>
  <c r="F21" i="4"/>
  <c r="I110" i="2"/>
  <c r="J110" i="2" s="1"/>
  <c r="I98" i="2"/>
  <c r="J98" i="2" s="1"/>
  <c r="I66" i="2"/>
  <c r="J66" i="2" s="1"/>
  <c r="I145" i="2"/>
  <c r="J145" i="2" s="1"/>
  <c r="I121" i="2"/>
  <c r="J121" i="2" s="1"/>
  <c r="I88" i="2"/>
  <c r="J88" i="2" s="1"/>
  <c r="I134" i="2"/>
  <c r="J134" i="2" s="1"/>
  <c r="I34" i="2"/>
  <c r="J34" i="2" s="1"/>
  <c r="I67" i="2"/>
  <c r="J67" i="2" s="1"/>
  <c r="I54" i="2"/>
  <c r="J54" i="2" s="1"/>
  <c r="I133" i="2"/>
  <c r="J133" i="2" s="1"/>
  <c r="I144" i="2"/>
  <c r="J144" i="2" s="1"/>
  <c r="I120" i="2"/>
  <c r="J120" i="2" s="1"/>
  <c r="I36" i="2"/>
  <c r="J36" i="2" s="1"/>
  <c r="I76" i="2"/>
  <c r="J76" i="2" s="1"/>
  <c r="I87" i="2"/>
  <c r="J87" i="2" s="1"/>
  <c r="I158" i="2"/>
  <c r="J158" i="2" s="1"/>
  <c r="I6" i="2"/>
  <c r="J6" i="2" s="1"/>
  <c r="I18" i="2"/>
  <c r="J18" i="2" s="1"/>
  <c r="J84" i="2"/>
  <c r="J136" i="2"/>
  <c r="F33" i="4"/>
  <c r="I37" i="2"/>
  <c r="J37" i="2" s="1"/>
  <c r="I69" i="2"/>
  <c r="J69" i="2" s="1"/>
  <c r="I97" i="2"/>
  <c r="J97" i="2" s="1"/>
  <c r="I14" i="2"/>
  <c r="J14" i="2" s="1"/>
  <c r="I114" i="2"/>
  <c r="J114" i="2" s="1"/>
  <c r="I70" i="2"/>
  <c r="J70" i="2" s="1"/>
  <c r="I148" i="2"/>
  <c r="J148" i="2" s="1"/>
  <c r="I124" i="2"/>
  <c r="J124" i="2" s="1"/>
  <c r="I40" i="2"/>
  <c r="J40" i="2" s="1"/>
  <c r="I92" i="2"/>
  <c r="J92" i="2" s="1"/>
  <c r="I109" i="2"/>
  <c r="J109" i="2" s="1"/>
  <c r="I126" i="2"/>
  <c r="J126" i="2" s="1"/>
  <c r="I146" i="2"/>
  <c r="J146" i="2" s="1"/>
  <c r="I154" i="2"/>
  <c r="J154" i="2" s="1"/>
  <c r="F13" i="4"/>
  <c r="I99" i="2"/>
  <c r="J99" i="2" s="1"/>
  <c r="F7" i="4"/>
  <c r="I143" i="2"/>
  <c r="J143" i="2" s="1"/>
  <c r="I151" i="2"/>
  <c r="J151" i="2" s="1"/>
  <c r="I155" i="2"/>
  <c r="J155" i="2" s="1"/>
  <c r="I159" i="2"/>
  <c r="J159" i="2" s="1"/>
  <c r="I52" i="2"/>
  <c r="J52" i="2" s="1"/>
  <c r="I60" i="2"/>
  <c r="J60" i="2" s="1"/>
  <c r="I64" i="2"/>
  <c r="J64" i="2" s="1"/>
  <c r="I68" i="2"/>
  <c r="J68" i="2" s="1"/>
  <c r="I96" i="2"/>
  <c r="J96" i="2" s="1"/>
  <c r="I104" i="2"/>
  <c r="J104" i="2" s="1"/>
  <c r="I108" i="2"/>
  <c r="J108" i="2" s="1"/>
  <c r="I112" i="2"/>
  <c r="J112" i="2" s="1"/>
  <c r="I8" i="2"/>
  <c r="J8" i="2" s="1"/>
  <c r="I16" i="2"/>
  <c r="J16" i="2" s="1"/>
  <c r="I20" i="2"/>
  <c r="J20" i="2" s="1"/>
  <c r="I24" i="2"/>
  <c r="J24" i="2" s="1"/>
  <c r="I132" i="2"/>
  <c r="J132" i="2" s="1"/>
  <c r="F16" i="4"/>
  <c r="J12" i="8"/>
  <c r="J13" i="8"/>
  <c r="I157" i="2"/>
  <c r="J157" i="2" s="1"/>
  <c r="I82" i="2"/>
  <c r="J82" i="2" s="1"/>
  <c r="G43" i="4" l="1"/>
  <c r="G28" i="4"/>
  <c r="G22" i="4"/>
  <c r="H26" i="6" s="1"/>
  <c r="K26" i="6" s="1"/>
  <c r="G10" i="4"/>
  <c r="G31" i="4"/>
  <c r="G51" i="5" s="1"/>
  <c r="H51" i="5" s="1"/>
  <c r="J51" i="5" s="1"/>
  <c r="K51" i="5" s="1"/>
  <c r="G25" i="4"/>
  <c r="G45" i="5" s="1"/>
  <c r="H45" i="5" s="1"/>
  <c r="J45" i="5" s="1"/>
  <c r="K45" i="5" s="1"/>
  <c r="G4" i="4"/>
  <c r="H21" i="6" s="1"/>
  <c r="G7" i="4"/>
  <c r="G19" i="4"/>
  <c r="G13" i="4"/>
  <c r="H4" i="6" s="1"/>
  <c r="K4" i="6" s="1"/>
  <c r="H29" i="6"/>
  <c r="K29" i="6" s="1"/>
  <c r="G49" i="5"/>
  <c r="H49" i="5" s="1"/>
  <c r="J49" i="5" s="1"/>
  <c r="K49" i="5" s="1"/>
  <c r="H7" i="6"/>
  <c r="K7" i="6" s="1"/>
  <c r="G28" i="5"/>
  <c r="H28" i="5" s="1"/>
  <c r="J28" i="5" s="1"/>
  <c r="K28" i="5" s="1"/>
  <c r="G3" i="5"/>
  <c r="H3" i="5" s="1"/>
  <c r="J3" i="5" s="1"/>
  <c r="K3" i="5" s="1"/>
  <c r="G16" i="4"/>
  <c r="N21" i="6" l="1"/>
  <c r="P21" i="6" s="1"/>
  <c r="K21" i="6"/>
  <c r="H14" i="6"/>
  <c r="K14" i="6" s="1"/>
  <c r="G20" i="5"/>
  <c r="H20" i="5" s="1"/>
  <c r="J20" i="5" s="1"/>
  <c r="K20" i="5" s="1"/>
  <c r="G24" i="5"/>
  <c r="H24" i="5" s="1"/>
  <c r="J24" i="5" s="1"/>
  <c r="K24" i="5" s="1"/>
  <c r="G11" i="5"/>
  <c r="H11" i="5" s="1"/>
  <c r="J11" i="5" s="1"/>
  <c r="K11" i="5" s="1"/>
  <c r="G47" i="5"/>
  <c r="H47" i="5" s="1"/>
  <c r="J47" i="5" s="1"/>
  <c r="K47" i="5" s="1"/>
  <c r="G41" i="5"/>
  <c r="H41" i="5" s="1"/>
  <c r="J41" i="5" s="1"/>
  <c r="K41" i="5" s="1"/>
  <c r="H33" i="6"/>
  <c r="K33" i="6" s="1"/>
  <c r="H3" i="6"/>
  <c r="K3" i="6" s="1"/>
  <c r="H35" i="6"/>
  <c r="K35" i="6" s="1"/>
  <c r="H30" i="6"/>
  <c r="K30" i="6" s="1"/>
  <c r="G43" i="5"/>
  <c r="H43" i="5" s="1"/>
  <c r="J43" i="5" s="1"/>
  <c r="K43" i="5" s="1"/>
  <c r="H31" i="6"/>
  <c r="K31" i="6" s="1"/>
  <c r="H32" i="6"/>
  <c r="K32" i="6" s="1"/>
  <c r="G37" i="5"/>
  <c r="H37" i="5" s="1"/>
  <c r="J37" i="5" s="1"/>
  <c r="K37" i="5" s="1"/>
  <c r="G39" i="5"/>
  <c r="H39" i="5" s="1"/>
  <c r="J39" i="5" s="1"/>
  <c r="K39" i="5" s="1"/>
  <c r="H34" i="6"/>
  <c r="K34" i="6" s="1"/>
  <c r="M7" i="6"/>
  <c r="O7" i="6" s="1"/>
  <c r="N7" i="6"/>
  <c r="P7" i="6" s="1"/>
  <c r="M26" i="6"/>
  <c r="O26" i="6" s="1"/>
  <c r="N26" i="6"/>
  <c r="P26" i="6" s="1"/>
  <c r="H11" i="6"/>
  <c r="K11" i="6" s="1"/>
  <c r="G33" i="5"/>
  <c r="H33" i="5" s="1"/>
  <c r="J33" i="5" s="1"/>
  <c r="K33" i="5" s="1"/>
  <c r="M4" i="6"/>
  <c r="O4" i="6" s="1"/>
  <c r="N4" i="6"/>
  <c r="P4" i="6" s="1"/>
  <c r="M21" i="6"/>
  <c r="O21" i="6" s="1"/>
  <c r="N29" i="6"/>
  <c r="P29" i="6" s="1"/>
  <c r="M29" i="6"/>
  <c r="O29" i="6" s="1"/>
  <c r="M31" i="6" l="1"/>
  <c r="O31" i="6" s="1"/>
  <c r="M35" i="6"/>
  <c r="O35" i="6" s="1"/>
  <c r="M34" i="6"/>
  <c r="O34" i="6" s="1"/>
  <c r="N33" i="6"/>
  <c r="P33" i="6" s="1"/>
  <c r="M33" i="6"/>
  <c r="O33" i="6" s="1"/>
  <c r="M32" i="6"/>
  <c r="O32" i="6" s="1"/>
  <c r="M30" i="6"/>
  <c r="O30" i="6" s="1"/>
  <c r="M3" i="6"/>
  <c r="O3" i="6" s="1"/>
  <c r="N14" i="6"/>
  <c r="P14" i="6" s="1"/>
  <c r="M14" i="6"/>
  <c r="O14" i="6" s="1"/>
  <c r="N3" i="6"/>
  <c r="P3" i="6" s="1"/>
  <c r="N30" i="6"/>
  <c r="P30" i="6" s="1"/>
  <c r="N31" i="6"/>
  <c r="P31" i="6" s="1"/>
  <c r="N35" i="6"/>
  <c r="P35" i="6" s="1"/>
  <c r="N32" i="6"/>
  <c r="P32" i="6" s="1"/>
  <c r="N34" i="6"/>
  <c r="P34" i="6" s="1"/>
  <c r="N11" i="6"/>
  <c r="P11" i="6" s="1"/>
  <c r="M11" i="6"/>
  <c r="O11" i="6" s="1"/>
</calcChain>
</file>

<file path=xl/sharedStrings.xml><?xml version="1.0" encoding="utf-8"?>
<sst xmlns="http://schemas.openxmlformats.org/spreadsheetml/2006/main" count="1433" uniqueCount="153">
  <si>
    <t>Insumo</t>
  </si>
  <si>
    <t>Unidad base</t>
  </si>
  <si>
    <t>Costo proveedor</t>
  </si>
  <si>
    <t>Precio unitario</t>
  </si>
  <si>
    <t>Almidon de maiz</t>
  </si>
  <si>
    <t>kg</t>
  </si>
  <si>
    <t>Azucar blanca</t>
  </si>
  <si>
    <t>Azucar glass</t>
  </si>
  <si>
    <t>Azucar mascabo</t>
  </si>
  <si>
    <t>Barra de kinder</t>
  </si>
  <si>
    <t>tabla</t>
  </si>
  <si>
    <t>Bicarbonato</t>
  </si>
  <si>
    <t>Bombon ferrero rocher</t>
  </si>
  <si>
    <t>unidades</t>
  </si>
  <si>
    <t>Bon o bon</t>
  </si>
  <si>
    <t>caja</t>
  </si>
  <si>
    <t>Brownie clasico</t>
  </si>
  <si>
    <t>Cacao alcalino</t>
  </si>
  <si>
    <t>Cacao amargo</t>
  </si>
  <si>
    <t>Caja chica</t>
  </si>
  <si>
    <t>Caja grande</t>
  </si>
  <si>
    <t>Caja para huevos</t>
  </si>
  <si>
    <t>Chocolate blanco chip</t>
  </si>
  <si>
    <t>Chocolate semiamargo chip</t>
  </si>
  <si>
    <t>Chocolina</t>
  </si>
  <si>
    <t>gr</t>
  </si>
  <si>
    <t>Colorante</t>
  </si>
  <si>
    <t>Cookie chip adorno</t>
  </si>
  <si>
    <t>Crema de leche</t>
  </si>
  <si>
    <t>Cucharas</t>
  </si>
  <si>
    <t>Extracto de vainilla</t>
  </si>
  <si>
    <t>Lt</t>
  </si>
  <si>
    <t>Franui</t>
  </si>
  <si>
    <t>Frutos rojos</t>
  </si>
  <si>
    <t>Harina 000</t>
  </si>
  <si>
    <t>Harina 0000</t>
  </si>
  <si>
    <t>Huevo</t>
  </si>
  <si>
    <t>Huevo (yema)</t>
  </si>
  <si>
    <t>Limon (jugo de limon)</t>
  </si>
  <si>
    <t>Limon (ralladura)</t>
  </si>
  <si>
    <t>Manteca</t>
  </si>
  <si>
    <t>Nutella</t>
  </si>
  <si>
    <t>Oreo scrap</t>
  </si>
  <si>
    <t>Papel parafinado</t>
  </si>
  <si>
    <t>Polvo de hornear</t>
  </si>
  <si>
    <t>Queso crema</t>
  </si>
  <si>
    <t>Semillas amapolas</t>
  </si>
  <si>
    <t>Stickers</t>
  </si>
  <si>
    <t>Vinagre blanco</t>
  </si>
  <si>
    <t>Receta</t>
  </si>
  <si>
    <t>Clasificacion</t>
  </si>
  <si>
    <t>Unidad</t>
  </si>
  <si>
    <t>Cantidad receta</t>
  </si>
  <si>
    <t>Cantidad obtenida con la receta</t>
  </si>
  <si>
    <t>Cantidad unitaria</t>
  </si>
  <si>
    <t>Costo unitario</t>
  </si>
  <si>
    <t>Costo parcial</t>
  </si>
  <si>
    <t>Brownie chocolate</t>
  </si>
  <si>
    <t>Brownie</t>
  </si>
  <si>
    <t>Brownie oreo</t>
  </si>
  <si>
    <t>Brownie red velvet</t>
  </si>
  <si>
    <t>Cookie red velvet rellena</t>
  </si>
  <si>
    <t>Cookie rellena</t>
  </si>
  <si>
    <t>Cookie vainilla kinder</t>
  </si>
  <si>
    <t>Cookie vainilla bon o bon</t>
  </si>
  <si>
    <t>Cookie vainilla ferrero</t>
  </si>
  <si>
    <t>Cookie chip clasica</t>
  </si>
  <si>
    <t>Cookie clasica</t>
  </si>
  <si>
    <t>Cookie oreo clasica</t>
  </si>
  <si>
    <t>Cookie limon clasica</t>
  </si>
  <si>
    <t>Cookie red velvet clasica</t>
  </si>
  <si>
    <t>Cookie limon rellena</t>
  </si>
  <si>
    <t>Cookie oreo rellena</t>
  </si>
  <si>
    <t>Descripcion producto</t>
  </si>
  <si>
    <t>Insumos</t>
  </si>
  <si>
    <t>Cantidad</t>
  </si>
  <si>
    <t>Costo total</t>
  </si>
  <si>
    <t>Combo mesa dulce</t>
  </si>
  <si>
    <t>Combo familiar</t>
  </si>
  <si>
    <t>Combo brownies x4</t>
  </si>
  <si>
    <t>Combo brownies x6</t>
  </si>
  <si>
    <t>Combo clasicas x6</t>
  </si>
  <si>
    <t>caja chica</t>
  </si>
  <si>
    <t>Combo clasicas x12</t>
  </si>
  <si>
    <t>caja grande</t>
  </si>
  <si>
    <t>Combo rellenas x3</t>
  </si>
  <si>
    <t>Cookie rellena x1</t>
  </si>
  <si>
    <t>Cookie clasica x1</t>
  </si>
  <si>
    <t>brownie  x1</t>
  </si>
  <si>
    <t>Detalle</t>
  </si>
  <si>
    <t>Costo del producto</t>
  </si>
  <si>
    <t>Costo x producto</t>
  </si>
  <si>
    <t>Costo packaging</t>
  </si>
  <si>
    <t>Precio de carta actual</t>
  </si>
  <si>
    <t>Utilidad</t>
  </si>
  <si>
    <t>%</t>
  </si>
  <si>
    <t>Precio actual</t>
  </si>
  <si>
    <t>Precio carta febrero 2026</t>
  </si>
  <si>
    <t>Precio carta: Costo variable x2,5</t>
  </si>
  <si>
    <t>Precio carta actual + 10%</t>
  </si>
  <si>
    <t>Precios carta nueva</t>
  </si>
  <si>
    <t>Utilidad carta actual</t>
  </si>
  <si>
    <t>Diferencia</t>
  </si>
  <si>
    <t>utilidad en%</t>
  </si>
  <si>
    <t>Peso</t>
  </si>
  <si>
    <t>simple</t>
  </si>
  <si>
    <t>rellenas</t>
  </si>
  <si>
    <t>Detalle para huevos</t>
  </si>
  <si>
    <t>crema de leche</t>
  </si>
  <si>
    <t>chocolate</t>
  </si>
  <si>
    <t>masa red velvet</t>
  </si>
  <si>
    <t>Ganash de choco negro</t>
  </si>
  <si>
    <t>masa limon</t>
  </si>
  <si>
    <t>Ganash de choco blanco</t>
  </si>
  <si>
    <t>masa oreo</t>
  </si>
  <si>
    <t>masa vainilla</t>
  </si>
  <si>
    <t>Froasting queso cream</t>
  </si>
  <si>
    <t>Ganash chocolate</t>
  </si>
  <si>
    <t>Masa chip</t>
  </si>
  <si>
    <t>Reduccion Frutos rojos</t>
  </si>
  <si>
    <t>?</t>
  </si>
  <si>
    <t>Reduccion frutos rojos</t>
  </si>
  <si>
    <t>Crema de chantilly</t>
  </si>
  <si>
    <t>azucar impalpable</t>
  </si>
  <si>
    <t>Total general</t>
  </si>
  <si>
    <t>Suma de Costo parcial</t>
  </si>
  <si>
    <t>Cookie Chocotorta</t>
  </si>
  <si>
    <t>Cookie Franui rellena</t>
  </si>
  <si>
    <t>Licor de chocolate</t>
  </si>
  <si>
    <t>Cantidad proveniente del proveedor</t>
  </si>
  <si>
    <t>Ultima fecha</t>
  </si>
  <si>
    <t>-</t>
  </si>
  <si>
    <t>Carta actual</t>
  </si>
  <si>
    <t>Combo entre dos</t>
  </si>
  <si>
    <t>Combo para sorprender</t>
  </si>
  <si>
    <t>Combo rellenas y clasicas</t>
  </si>
  <si>
    <t>Combo para enamorar</t>
  </si>
  <si>
    <t>Combo para alegrar</t>
  </si>
  <si>
    <t>Etiquetas de fila</t>
  </si>
  <si>
    <t>Chococookie clasica</t>
  </si>
  <si>
    <t>Costo  total</t>
  </si>
  <si>
    <t>Suma de Costo x producto</t>
  </si>
  <si>
    <t>Suma de Costo  total</t>
  </si>
  <si>
    <t>Suma de Costo packaging</t>
  </si>
  <si>
    <t>CARTA ACTUAL</t>
  </si>
  <si>
    <t>COSTO TOTAL</t>
  </si>
  <si>
    <t>PRECIO SUGERIDO</t>
  </si>
  <si>
    <t>MARGEN</t>
  </si>
  <si>
    <t/>
  </si>
  <si>
    <t>Producto</t>
  </si>
  <si>
    <t>Combo rellenas x6</t>
  </si>
  <si>
    <t>Margen actual</t>
  </si>
  <si>
    <t>Margen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</si>
</sst>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"/>
    <numFmt numFmtId="165" formatCode="_-&quot;$&quot;\ * #,##0.00_-;\-&quot;$&quot;\ * #,##0.00_-;_-&quot;$&quot;\ * &quot;-&quot;??_-;_-@"/>
    <numFmt numFmtId="167" formatCode="_-&quot;$&quot;\ * #,##0_-;\-&quot;$&quot;\ * #,##0_-;_-&quot;$&quot;\ * &quot;-&quot;??_-;_-@_-"/>
    <numFmt numFmtId="170" formatCode="&quot;$&quot;\ #,##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b/>
      <sz val="11"/>
      <color theme="0"/>
      <name val="Calibri"/>
    </font>
    <font>
      <sz val="11"/>
      <color theme="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theme="9"/>
        <bgColor theme="9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5" fontId="2" fillId="0" borderId="0" xfId="0" applyNumberFormat="1" applyFont="1"/>
    <xf numFmtId="0" fontId="2" fillId="0" borderId="6" xfId="0" applyFont="1" applyBorder="1"/>
    <xf numFmtId="2" fontId="2" fillId="0" borderId="0" xfId="0" applyNumberFormat="1" applyFont="1"/>
    <xf numFmtId="2" fontId="2" fillId="0" borderId="6" xfId="0" applyNumberFormat="1" applyFont="1" applyBorder="1"/>
    <xf numFmtId="8" fontId="2" fillId="0" borderId="0" xfId="0" applyNumberFormat="1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9" fontId="2" fillId="0" borderId="0" xfId="0" applyNumberFormat="1" applyFont="1"/>
    <xf numFmtId="0" fontId="8" fillId="2" borderId="6" xfId="0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9" fontId="8" fillId="4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/>
    <xf numFmtId="164" fontId="2" fillId="5" borderId="6" xfId="0" applyNumberFormat="1" applyFont="1" applyFill="1" applyBorder="1"/>
    <xf numFmtId="0" fontId="2" fillId="5" borderId="6" xfId="0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164" fontId="8" fillId="6" borderId="6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9" fontId="2" fillId="0" borderId="6" xfId="0" applyNumberFormat="1" applyFont="1" applyBorder="1"/>
    <xf numFmtId="0" fontId="2" fillId="0" borderId="9" xfId="0" applyFont="1" applyBorder="1"/>
    <xf numFmtId="0" fontId="2" fillId="0" borderId="0" xfId="0" applyFont="1"/>
    <xf numFmtId="0" fontId="0" fillId="0" borderId="10" xfId="0" applyBorder="1"/>
    <xf numFmtId="0" fontId="5" fillId="0" borderId="12" xfId="0" applyFont="1" applyBorder="1"/>
    <xf numFmtId="0" fontId="2" fillId="0" borderId="12" xfId="0" applyFont="1" applyBorder="1"/>
    <xf numFmtId="0" fontId="0" fillId="0" borderId="12" xfId="0" applyBorder="1"/>
    <xf numFmtId="0" fontId="0" fillId="0" borderId="13" xfId="0" pivotButton="1" applyBorder="1"/>
    <xf numFmtId="165" fontId="0" fillId="0" borderId="10" xfId="0" applyNumberFormat="1" applyBorder="1"/>
    <xf numFmtId="165" fontId="0" fillId="0" borderId="11" xfId="0" applyNumberFormat="1" applyBorder="1"/>
    <xf numFmtId="0" fontId="0" fillId="0" borderId="15" xfId="0" applyBorder="1"/>
    <xf numFmtId="1" fontId="0" fillId="0" borderId="12" xfId="0" applyNumberFormat="1" applyBorder="1"/>
    <xf numFmtId="16" fontId="0" fillId="0" borderId="0" xfId="0" applyNumberFormat="1"/>
    <xf numFmtId="0" fontId="0" fillId="0" borderId="16" xfId="0" applyBorder="1"/>
    <xf numFmtId="0" fontId="0" fillId="0" borderId="13" xfId="0" applyBorder="1" applyAlignment="1">
      <alignment horizontal="left"/>
    </xf>
    <xf numFmtId="0" fontId="0" fillId="0" borderId="18" xfId="0" applyBorder="1" applyAlignment="1">
      <alignment horizontal="left"/>
    </xf>
    <xf numFmtId="165" fontId="0" fillId="0" borderId="19" xfId="0" applyNumberFormat="1" applyBorder="1"/>
    <xf numFmtId="0" fontId="0" fillId="0" borderId="14" xfId="0" applyBorder="1" applyAlignment="1">
      <alignment horizontal="left"/>
    </xf>
    <xf numFmtId="0" fontId="1" fillId="0" borderId="12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64" fontId="2" fillId="0" borderId="12" xfId="0" applyNumberFormat="1" applyFont="1" applyBorder="1"/>
    <xf numFmtId="164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vertical="center"/>
    </xf>
    <xf numFmtId="0" fontId="7" fillId="0" borderId="12" xfId="0" applyFont="1" applyBorder="1"/>
    <xf numFmtId="0" fontId="7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17" xfId="0" applyBorder="1"/>
    <xf numFmtId="0" fontId="2" fillId="0" borderId="17" xfId="0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164" fontId="9" fillId="0" borderId="12" xfId="0" applyNumberFormat="1" applyFont="1" applyBorder="1"/>
    <xf numFmtId="164" fontId="9" fillId="0" borderId="12" xfId="0" applyNumberFormat="1" applyFont="1" applyBorder="1" applyAlignment="1">
      <alignment horizontal="center"/>
    </xf>
    <xf numFmtId="164" fontId="9" fillId="0" borderId="12" xfId="0" applyNumberFormat="1" applyFont="1" applyBorder="1" applyAlignment="1">
      <alignment horizontal="center" vertical="center"/>
    </xf>
    <xf numFmtId="9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164" fontId="9" fillId="0" borderId="17" xfId="0" applyNumberFormat="1" applyFont="1" applyBorder="1"/>
    <xf numFmtId="164" fontId="9" fillId="0" borderId="17" xfId="0" applyNumberFormat="1" applyFont="1" applyBorder="1" applyAlignment="1">
      <alignment horizontal="center"/>
    </xf>
    <xf numFmtId="164" fontId="9" fillId="0" borderId="17" xfId="0" applyNumberFormat="1" applyFont="1" applyBorder="1" applyAlignment="1">
      <alignment horizontal="center" vertical="center"/>
    </xf>
    <xf numFmtId="9" fontId="9" fillId="0" borderId="26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2" fillId="0" borderId="12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2" fillId="0" borderId="8" xfId="0" applyFont="1" applyBorder="1"/>
    <xf numFmtId="0" fontId="4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/>
    <xf numFmtId="165" fontId="2" fillId="0" borderId="12" xfId="0" applyNumberFormat="1" applyFont="1" applyBorder="1"/>
    <xf numFmtId="0" fontId="2" fillId="3" borderId="12" xfId="0" applyFont="1" applyFill="1" applyBorder="1"/>
    <xf numFmtId="0" fontId="2" fillId="0" borderId="8" xfId="0" applyFont="1" applyBorder="1" applyAlignment="1">
      <alignment horizontal="center" vertical="center"/>
    </xf>
    <xf numFmtId="0" fontId="7" fillId="0" borderId="9" xfId="0" applyFont="1" applyBorder="1"/>
    <xf numFmtId="0" fontId="7" fillId="0" borderId="2" xfId="0" applyFont="1" applyBorder="1"/>
    <xf numFmtId="16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9" fontId="2" fillId="5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13" xfId="0" applyBorder="1"/>
    <xf numFmtId="0" fontId="0" fillId="0" borderId="18" xfId="0" applyBorder="1" applyAlignment="1">
      <alignment horizontal="left" indent="1"/>
    </xf>
    <xf numFmtId="167" fontId="0" fillId="0" borderId="0" xfId="1" applyNumberFormat="1" applyFont="1"/>
    <xf numFmtId="170" fontId="0" fillId="0" borderId="0" xfId="1" applyNumberFormat="1" applyFont="1"/>
    <xf numFmtId="170" fontId="0" fillId="0" borderId="0" xfId="1" applyNumberFormat="1" applyFont="1" applyFill="1" applyBorder="1"/>
    <xf numFmtId="170" fontId="0" fillId="0" borderId="13" xfId="0" applyNumberFormat="1" applyBorder="1"/>
    <xf numFmtId="170" fontId="0" fillId="0" borderId="30" xfId="0" applyNumberFormat="1" applyBorder="1"/>
    <xf numFmtId="170" fontId="0" fillId="0" borderId="27" xfId="0" applyNumberFormat="1" applyBorder="1"/>
    <xf numFmtId="170" fontId="0" fillId="0" borderId="18" xfId="0" applyNumberFormat="1" applyBorder="1"/>
    <xf numFmtId="170" fontId="0" fillId="0" borderId="31" xfId="0" applyNumberFormat="1" applyBorder="1"/>
    <xf numFmtId="170" fontId="0" fillId="0" borderId="28" xfId="0" applyNumberFormat="1" applyBorder="1"/>
    <xf numFmtId="170" fontId="0" fillId="0" borderId="14" xfId="0" applyNumberFormat="1" applyBorder="1"/>
    <xf numFmtId="170" fontId="0" fillId="0" borderId="32" xfId="0" applyNumberFormat="1" applyBorder="1"/>
    <xf numFmtId="170" fontId="0" fillId="0" borderId="29" xfId="0" applyNumberFormat="1" applyBorder="1"/>
    <xf numFmtId="9" fontId="0" fillId="0" borderId="0" xfId="2" applyFont="1" applyFill="1" applyBorder="1"/>
    <xf numFmtId="9" fontId="0" fillId="0" borderId="0" xfId="2" applyFont="1"/>
    <xf numFmtId="170" fontId="0" fillId="0" borderId="12" xfId="0" applyNumberFormat="1" applyBorder="1"/>
    <xf numFmtId="170" fontId="0" fillId="0" borderId="12" xfId="0" applyNumberFormat="1" applyFill="1" applyBorder="1"/>
    <xf numFmtId="0" fontId="0" fillId="0" borderId="12" xfId="0" applyBorder="1" applyAlignment="1">
      <alignment horizontal="left"/>
    </xf>
    <xf numFmtId="170" fontId="0" fillId="0" borderId="12" xfId="1" applyNumberFormat="1" applyFont="1" applyFill="1" applyBorder="1"/>
    <xf numFmtId="0" fontId="0" fillId="0" borderId="12" xfId="0" applyBorder="1" applyAlignment="1">
      <alignment horizontal="left" indent="1"/>
    </xf>
    <xf numFmtId="10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&quot;$&quot;\ #,##0"/>
    </dxf>
    <dxf>
      <numFmt numFmtId="170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&quot;$&quot;\ * #,##0_-;\-&quot;$&quot;\ * #,##0_-;_-&quot;$&quot;\ * &quot;-&quot;??_-;_-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1) Planilla maestra insumos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[Costos variables.xlsx]3) costo mp!TablaDinámica1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'3) costo mp'!$C$3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'3) costo mp'!$B$4:$B$20</c:f>
              <c:strCache>
                <c:ptCount val="16"/>
                <c:pt idx="0">
                  <c:v>Brownie chocolate</c:v>
                </c:pt>
                <c:pt idx="1">
                  <c:v>Brownie oreo</c:v>
                </c:pt>
                <c:pt idx="2">
                  <c:v>Brownie red velvet</c:v>
                </c:pt>
                <c:pt idx="3">
                  <c:v>Cookie chip clasica</c:v>
                </c:pt>
                <c:pt idx="4">
                  <c:v>Cookie Chocotorta</c:v>
                </c:pt>
                <c:pt idx="5">
                  <c:v>Cookie Franui rellena</c:v>
                </c:pt>
                <c:pt idx="6">
                  <c:v>Cookie limon clasica</c:v>
                </c:pt>
                <c:pt idx="7">
                  <c:v>Cookie limon rellena</c:v>
                </c:pt>
                <c:pt idx="8">
                  <c:v>Cookie oreo clasica</c:v>
                </c:pt>
                <c:pt idx="9">
                  <c:v>Cookie oreo rellena</c:v>
                </c:pt>
                <c:pt idx="10">
                  <c:v>Cookie red velvet clasica</c:v>
                </c:pt>
                <c:pt idx="11">
                  <c:v>Cookie red velvet rellena</c:v>
                </c:pt>
                <c:pt idx="12">
                  <c:v>Cookie vainilla bon o bon</c:v>
                </c:pt>
                <c:pt idx="13">
                  <c:v>Cookie vainilla ferrero</c:v>
                </c:pt>
                <c:pt idx="14">
                  <c:v>Cookie vainilla kinder</c:v>
                </c:pt>
                <c:pt idx="15">
                  <c:v>Chococookie clasica</c:v>
                </c:pt>
              </c:strCache>
            </c:strRef>
          </c:cat>
          <c:val>
            <c:numRef>
              <c:f>'3) costo mp'!$C$4:$C$20</c:f>
              <c:numCache>
                <c:formatCode>_-"$"\ * #,##0.00_-;\-"$"\ * #,##0.00_-;_-"$"\ * "-"??_-;_-@</c:formatCode>
                <c:ptCount val="16"/>
                <c:pt idx="0">
                  <c:v>578.12713472222231</c:v>
                </c:pt>
                <c:pt idx="1">
                  <c:v>764.07659305555558</c:v>
                </c:pt>
                <c:pt idx="2">
                  <c:v>539.65356805555564</c:v>
                </c:pt>
                <c:pt idx="3">
                  <c:v>148.49955888888888</c:v>
                </c:pt>
                <c:pt idx="4">
                  <c:v>589.23391433540348</c:v>
                </c:pt>
                <c:pt idx="5">
                  <c:v>905.60150940170945</c:v>
                </c:pt>
                <c:pt idx="6">
                  <c:v>147.28882962962962</c:v>
                </c:pt>
                <c:pt idx="7">
                  <c:v>561.37584561403503</c:v>
                </c:pt>
                <c:pt idx="8">
                  <c:v>194.51099236641221</c:v>
                </c:pt>
                <c:pt idx="9">
                  <c:v>750.96461538461529</c:v>
                </c:pt>
                <c:pt idx="10">
                  <c:v>178.04894871794872</c:v>
                </c:pt>
                <c:pt idx="11">
                  <c:v>630.08327472527458</c:v>
                </c:pt>
                <c:pt idx="12">
                  <c:v>1349.7620312612612</c:v>
                </c:pt>
                <c:pt idx="13">
                  <c:v>2030.8620312612613</c:v>
                </c:pt>
                <c:pt idx="14">
                  <c:v>1427.2370312612613</c:v>
                </c:pt>
                <c:pt idx="15">
                  <c:v>191.68857535014007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F-458A-B969-4A79D217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1879119"/>
        <c:axId val="1138065391"/>
      </c:barChart>
      <c:catAx>
        <c:axId val="82187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8065391"/>
        <c:crosses val="autoZero"/>
        <c:auto val="1"/>
        <c:lblAlgn val="ctr"/>
        <c:lblOffset val="100"/>
        <c:noMultiLvlLbl val="0"/>
      </c:catAx>
      <c:valAx>
        <c:axId val="11380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.00_-;\-&quot;$&quot;\ * #,##0.00_-;_-&quot;$&quot;\ 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187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99060</xdr:rowOff>
    </xdr:from>
    <xdr:to>
      <xdr:col>11</xdr:col>
      <xdr:colOff>335280</xdr:colOff>
      <xdr:row>29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F5E7B6-4A8A-9F25-0C9E-5C8E85DC8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350520</xdr:colOff>
      <xdr:row>22</xdr:row>
      <xdr:rowOff>76201</xdr:rowOff>
    </xdr:from>
    <xdr:to>
      <xdr:col>2</xdr:col>
      <xdr:colOff>883920</xdr:colOff>
      <xdr:row>29</xdr:row>
      <xdr:rowOff>129541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asificacion">
              <a:extLst>
                <a:ext uri="{FF2B5EF4-FFF2-40B4-BE49-F238E27FC236}">
                  <a16:creationId xmlns:a16="http://schemas.microsoft.com/office/drawing/2014/main" id="{45DE8543-779C-A784-61C9-2CAA5ADE68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" y="3954781"/>
              <a:ext cx="201930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as Gimenez" refreshedDate="46238.580347453702" createdVersion="8" refreshedVersion="8" minRefreshableVersion="3" recordCount="193" xr:uid="{5E1313FA-A8B4-4840-BED1-1559C7EDFF27}">
  <cacheSource type="worksheet">
    <worksheetSource ref="B2:J195" sheet="2) Recetas"/>
  </cacheSource>
  <cacheFields count="9">
    <cacheField name="Receta" numFmtId="0">
      <sharedItems count="17">
        <s v="Brownie chocolate"/>
        <s v="Brownie oreo"/>
        <s v="Brownie red velvet"/>
        <s v="Cookie red velvet rellena"/>
        <s v="Cookie vainilla kinder"/>
        <s v="Cookie vainilla bon o bon"/>
        <s v="Cookie vainilla ferrero"/>
        <s v="Cookie chip clasica"/>
        <s v="Cookie oreo clasica"/>
        <s v="Cookie limon clasica"/>
        <s v="Cookie red velvet clasica"/>
        <s v="Cookie limon rellena"/>
        <s v="Cookie oreo rellena"/>
        <s v="Chococookie clasica"/>
        <s v="Cookie Chocotorta"/>
        <s v="Cookie Franui rellena"/>
        <s v="Cookie Franui" u="1"/>
      </sharedItems>
    </cacheField>
    <cacheField name="Clasificacion" numFmtId="0">
      <sharedItems count="3">
        <s v="Brownie"/>
        <s v="Cookie rellena"/>
        <s v="Cookie clasica"/>
      </sharedItems>
    </cacheField>
    <cacheField name="Insumo" numFmtId="0">
      <sharedItems/>
    </cacheField>
    <cacheField name="Unidad" numFmtId="0">
      <sharedItems/>
    </cacheField>
    <cacheField name="Cantidad receta" numFmtId="0">
      <sharedItems containsSemiMixedTypes="0" containsString="0" containsNumber="1" minValue="5.0000000000000002E-5" maxValue="15"/>
    </cacheField>
    <cacheField name="Cantidad obtenida con la receta" numFmtId="0">
      <sharedItems containsSemiMixedTypes="0" containsString="0" containsNumber="1" minValue="1" maxValue="171"/>
    </cacheField>
    <cacheField name="Cantidad unitaria" numFmtId="2">
      <sharedItems containsSemiMixedTypes="0" containsString="0" containsNumber="1" minValue="1.3513513513513515E-6" maxValue="6.81"/>
    </cacheField>
    <cacheField name="Costo unitario" numFmtId="164">
      <sharedItems containsSemiMixedTypes="0" containsString="0" containsNumber="1" minValue="7.968" maxValue="30658.666666666668"/>
    </cacheField>
    <cacheField name="Costo parcial" numFmtId="165">
      <sharedItems containsSemiMixedTypes="0" containsString="0" containsNumber="1" minValue="3.6272702702702705E-2" maxValue="1125"/>
    </cacheField>
  </cacheFields>
  <extLst>
    <ext xmlns:x14="http://schemas.microsoft.com/office/spreadsheetml/2009/9/main" uri="{725AE2AE-9491-48be-B2B4-4EB974FC3084}">
      <x14:pivotCacheDefinition pivotCacheId="165740979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as Gimenez" refreshedDate="46240.469210185183" createdVersion="8" refreshedVersion="8" minRefreshableVersion="3" recordCount="60" xr:uid="{E92F9D5C-7C22-4556-ACA1-2F100E0CFE1E}">
  <cacheSource type="worksheet">
    <worksheetSource name="Tabla2"/>
  </cacheSource>
  <cacheFields count="15">
    <cacheField name="Descripcion producto" numFmtId="0">
      <sharedItems count="14">
        <s v="brownie  x1"/>
        <s v="Combo brownies x6"/>
        <s v="Combo clasicas x12"/>
        <s v="Combo clasicas x6"/>
        <s v="Combo familiar"/>
        <s v="Combo mesa dulce"/>
        <s v="Combo rellenas x3"/>
        <s v="Cookie clasica x1"/>
        <s v="Cookie rellena x1"/>
        <s v="Combo rellenas y clasicas"/>
        <s v="Combo para alegrar"/>
        <s v="Combo para sorprender"/>
        <s v="Combo entre dos"/>
        <s v="Combo para enamorar"/>
      </sharedItems>
    </cacheField>
    <cacheField name="Detalle" numFmtId="0">
      <sharedItems count="14">
        <s v="Brownie chocolate"/>
        <s v="Brownie red velvet"/>
        <s v="Brownie oreo"/>
        <s v="Cookie chip clasica"/>
        <s v="Cookie limon clasica"/>
        <s v="Cookie oreo clasica"/>
        <s v="Cookie red velvet clasica"/>
        <s v="Cookie vainilla bon o bon"/>
        <s v="Cookie limon rellena"/>
        <s v="Cookie vainilla kinder"/>
        <s v="Cookie Chocotorta"/>
        <s v="Cookie red velvet rellena"/>
        <s v="Cookie Franui rellena"/>
        <s v="Cookie vainilla ferrero" u="1"/>
      </sharedItems>
    </cacheField>
    <cacheField name="Costo del producto" numFmtId="164">
      <sharedItems containsSemiMixedTypes="0" containsString="0" containsNumber="1" minValue="147.28882962962962" maxValue="1427.2370312612613"/>
    </cacheField>
    <cacheField name="Cantidad" numFmtId="0">
      <sharedItems containsSemiMixedTypes="0" containsString="0" containsNumber="1" containsInteger="1" minValue="1" maxValue="5"/>
    </cacheField>
    <cacheField name="Costo x producto" numFmtId="164">
      <sharedItems containsSemiMixedTypes="0" containsString="0" containsNumber="1" minValue="147.28882962962962" maxValue="1734.3814041666669"/>
    </cacheField>
    <cacheField name="Costo packaging" numFmtId="164">
      <sharedItems containsString="0" containsBlank="1" containsNumber="1" minValue="149.37234000000001" maxValue="432.11468000000002"/>
    </cacheField>
    <cacheField name="Costo  total" numFmtId="0">
      <sharedItems containsString="0" containsBlank="1" containsNumber="1" minValue="178.04894871794872" maxValue="6200.8742604753052"/>
    </cacheField>
    <cacheField name="Carta actual" numFmtId="0">
      <sharedItems containsNonDate="0" containsString="0" containsBlank="1"/>
    </cacheField>
    <cacheField name="Precio carta febrero 2026" numFmtId="0">
      <sharedItems containsString="0" containsBlank="1" containsNumber="1" containsInteger="1" minValue="800" maxValue="16000"/>
    </cacheField>
    <cacheField name="Precio carta: Costo variable x2,5" numFmtId="0">
      <sharedItems containsString="0" containsBlank="1" containsNumber="1" minValue="0" maxValue="15502.185651188263"/>
    </cacheField>
    <cacheField name="Precio carta actual + 10%" numFmtId="0">
      <sharedItems containsString="0" containsBlank="1" containsNumber="1" minValue="0" maxValue="17600"/>
    </cacheField>
    <cacheField name="Precios carta nueva" numFmtId="0">
      <sharedItems containsString="0" containsBlank="1" containsNumber="1" minValue="0" maxValue="17600"/>
    </cacheField>
    <cacheField name="Utilidad carta actual" numFmtId="0">
      <sharedItems containsString="0" containsBlank="1" containsNumber="1" minValue="456.11666763358778" maxValue="9799.1257395246939"/>
    </cacheField>
    <cacheField name="Diferencia" numFmtId="0">
      <sharedItems containsString="0" containsBlank="1" containsNumber="1" minValue="0" maxValue="1600"/>
    </cacheField>
    <cacheField name="utilidad en%" numFmtId="0">
      <sharedItems containsString="0" containsBlank="1" containsNumber="1" minValue="0.54954017963963964" maxValue="0.79692908982456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x v="0"/>
    <x v="0"/>
    <s v="Manteca"/>
    <s v="kg"/>
    <n v="0.76800000000000002"/>
    <n v="48"/>
    <n v="1.6E-2"/>
    <n v="11006.6"/>
    <n v="176.10560000000001"/>
  </r>
  <r>
    <x v="0"/>
    <x v="0"/>
    <s v="Chocolate semiamargo chip"/>
    <s v="kg"/>
    <n v="0.504"/>
    <n v="48"/>
    <n v="1.0500000000000001E-2"/>
    <n v="10524.5"/>
    <n v="110.50725000000001"/>
  </r>
  <r>
    <x v="0"/>
    <x v="0"/>
    <s v="Azucar blanca"/>
    <s v="kg"/>
    <n v="0.88"/>
    <n v="48"/>
    <n v="1.8333333333333333E-2"/>
    <n v="1263.5"/>
    <n v="23.164166666666667"/>
  </r>
  <r>
    <x v="0"/>
    <x v="0"/>
    <s v="Azucar mascabo"/>
    <s v="kg"/>
    <n v="0.44"/>
    <n v="48"/>
    <n v="9.1666666666666667E-3"/>
    <n v="3093.8"/>
    <n v="28.359833333333334"/>
  </r>
  <r>
    <x v="0"/>
    <x v="0"/>
    <s v="Harina 0000"/>
    <s v="kg"/>
    <n v="0.55000000000000004"/>
    <n v="48"/>
    <n v="1.1458333333333334E-2"/>
    <n v="788"/>
    <n v="9.0291666666666668"/>
  </r>
  <r>
    <x v="0"/>
    <x v="0"/>
    <s v="Cacao amargo"/>
    <s v="kg"/>
    <n v="0.372"/>
    <n v="48"/>
    <n v="7.7499999999999999E-3"/>
    <n v="23970"/>
    <n v="185.76750000000001"/>
  </r>
  <r>
    <x v="0"/>
    <x v="0"/>
    <s v="Extracto de vainilla"/>
    <s v="Lt"/>
    <n v="1.4999999999999999E-2"/>
    <n v="48"/>
    <n v="3.1250000000000001E-4"/>
    <n v="26841.8"/>
    <n v="8.3880625000000002"/>
  </r>
  <r>
    <x v="0"/>
    <x v="0"/>
    <s v="Huevo"/>
    <s v="unidades"/>
    <n v="10"/>
    <n v="48"/>
    <n v="0.20833333333333334"/>
    <n v="176.66666666666666"/>
    <n v="36.805555555555557"/>
  </r>
  <r>
    <x v="1"/>
    <x v="0"/>
    <s v="Manteca"/>
    <s v="kg"/>
    <n v="0.76800000000000002"/>
    <n v="48"/>
    <n v="1.6E-2"/>
    <n v="11006.6"/>
    <n v="176.10560000000001"/>
  </r>
  <r>
    <x v="1"/>
    <x v="0"/>
    <s v="Chocolate semiamargo chip"/>
    <s v="kg"/>
    <n v="0.80400000000000005"/>
    <n v="48"/>
    <n v="1.6750000000000001E-2"/>
    <n v="10524.5"/>
    <n v="176.28537500000002"/>
  </r>
  <r>
    <x v="1"/>
    <x v="0"/>
    <s v="Azucar blanca"/>
    <s v="kg"/>
    <n v="0.88"/>
    <n v="48"/>
    <n v="1.8333333333333333E-2"/>
    <n v="1263.5"/>
    <n v="23.164166666666667"/>
  </r>
  <r>
    <x v="1"/>
    <x v="0"/>
    <s v="Azucar mascabo"/>
    <s v="kg"/>
    <n v="0.44"/>
    <n v="48"/>
    <n v="9.1666666666666667E-3"/>
    <n v="3093.8"/>
    <n v="28.359833333333334"/>
  </r>
  <r>
    <x v="1"/>
    <x v="0"/>
    <s v="Harina 0000"/>
    <s v="kg"/>
    <n v="0.55000000000000004"/>
    <n v="48"/>
    <n v="1.1458333333333334E-2"/>
    <n v="788"/>
    <n v="9.0291666666666668"/>
  </r>
  <r>
    <x v="1"/>
    <x v="0"/>
    <s v="Cacao amargo"/>
    <s v="kg"/>
    <n v="0.372"/>
    <n v="48"/>
    <n v="7.7499999999999999E-3"/>
    <n v="23970"/>
    <n v="185.76750000000001"/>
  </r>
  <r>
    <x v="1"/>
    <x v="0"/>
    <s v="Extracto de vainilla"/>
    <s v="Lt"/>
    <n v="1.4999999999999999E-2"/>
    <n v="48"/>
    <n v="3.1250000000000001E-4"/>
    <n v="26841.8"/>
    <n v="8.3880625000000002"/>
  </r>
  <r>
    <x v="1"/>
    <x v="0"/>
    <s v="Cacao alcalino"/>
    <s v="kg"/>
    <n v="0.04"/>
    <n v="48"/>
    <n v="8.3333333333333339E-4"/>
    <n v="23680"/>
    <n v="19.733333333333334"/>
  </r>
  <r>
    <x v="1"/>
    <x v="0"/>
    <s v="Oreo scrap"/>
    <s v="kg"/>
    <n v="0.48"/>
    <n v="48"/>
    <n v="0.01"/>
    <n v="10043.799999999999"/>
    <n v="100.43799999999999"/>
  </r>
  <r>
    <x v="1"/>
    <x v="0"/>
    <s v="Huevo"/>
    <s v="unidades"/>
    <n v="10"/>
    <n v="48"/>
    <n v="0.20833333333333334"/>
    <n v="176.66666666666666"/>
    <n v="36.805555555555557"/>
  </r>
  <r>
    <x v="2"/>
    <x v="0"/>
    <s v="Manteca"/>
    <s v="kg"/>
    <n v="1.01"/>
    <n v="48"/>
    <n v="2.1041666666666667E-2"/>
    <n v="11006.6"/>
    <n v="231.59720833333336"/>
  </r>
  <r>
    <x v="2"/>
    <x v="0"/>
    <s v="Azucar blanca"/>
    <s v="kg"/>
    <n v="0.96"/>
    <n v="48"/>
    <n v="0.02"/>
    <n v="1263.5"/>
    <n v="25.27"/>
  </r>
  <r>
    <x v="2"/>
    <x v="0"/>
    <s v="Azucar mascabo"/>
    <s v="kg"/>
    <n v="0.44"/>
    <n v="48"/>
    <n v="9.1666666666666667E-3"/>
    <n v="3093.8"/>
    <n v="28.359833333333334"/>
  </r>
  <r>
    <x v="2"/>
    <x v="0"/>
    <s v="Huevo"/>
    <s v="unidades"/>
    <n v="12"/>
    <n v="48"/>
    <n v="0.25"/>
    <n v="176.66666666666666"/>
    <n v="44.166666666666664"/>
  </r>
  <r>
    <x v="2"/>
    <x v="0"/>
    <s v="Harina 0000"/>
    <s v="kg"/>
    <n v="0.52"/>
    <n v="48"/>
    <n v="1.0833333333333334E-2"/>
    <n v="788"/>
    <n v="8.5366666666666671"/>
  </r>
  <r>
    <x v="2"/>
    <x v="0"/>
    <s v="Cacao amargo"/>
    <s v="kg"/>
    <n v="0.24"/>
    <n v="48"/>
    <n v="5.0000000000000001E-3"/>
    <n v="23970"/>
    <n v="119.85000000000001"/>
  </r>
  <r>
    <x v="2"/>
    <x v="0"/>
    <s v="Extracto de vainilla"/>
    <s v="Lt"/>
    <n v="0.03"/>
    <n v="48"/>
    <n v="6.2500000000000001E-4"/>
    <n v="26841.8"/>
    <n v="16.776125"/>
  </r>
  <r>
    <x v="2"/>
    <x v="0"/>
    <s v="Colorante"/>
    <s v="gr"/>
    <n v="15"/>
    <n v="48"/>
    <n v="0.3125"/>
    <n v="73.333333333333329"/>
    <n v="22.916666666666664"/>
  </r>
  <r>
    <x v="2"/>
    <x v="0"/>
    <s v="Vinagre blanco"/>
    <s v="Lt"/>
    <n v="0.01"/>
    <n v="48"/>
    <n v="2.0833333333333335E-4"/>
    <n v="1000"/>
    <n v="0.20833333333333334"/>
  </r>
  <r>
    <x v="2"/>
    <x v="0"/>
    <s v="Queso crema"/>
    <s v="kg"/>
    <n v="0.18"/>
    <n v="48"/>
    <n v="3.7499999999999999E-3"/>
    <n v="8725"/>
    <n v="32.71875"/>
  </r>
  <r>
    <x v="2"/>
    <x v="0"/>
    <s v="Almidon de maiz"/>
    <s v="kg"/>
    <n v="6.0000000000000001E-3"/>
    <n v="48"/>
    <n v="1.25E-4"/>
    <n v="1600"/>
    <n v="0.2"/>
  </r>
  <r>
    <x v="2"/>
    <x v="0"/>
    <s v="Azucar glass"/>
    <s v="kg"/>
    <n v="0.04"/>
    <n v="48"/>
    <n v="8.3333333333333339E-4"/>
    <n v="1750"/>
    <n v="1.4583333333333335"/>
  </r>
  <r>
    <x v="2"/>
    <x v="0"/>
    <s v="Huevo (yema)"/>
    <s v="unidades"/>
    <n v="1"/>
    <n v="48"/>
    <n v="2.0833333333333332E-2"/>
    <n v="176.66666666666666"/>
    <n v="3.6805555555555554"/>
  </r>
  <r>
    <x v="2"/>
    <x v="0"/>
    <s v="Extracto de vainilla"/>
    <s v="Lt"/>
    <n v="7.0000000000000001E-3"/>
    <n v="48"/>
    <n v="1.4583333333333335E-4"/>
    <n v="26841.8"/>
    <n v="3.9144291666666668"/>
  </r>
  <r>
    <x v="3"/>
    <x v="1"/>
    <s v="Manteca"/>
    <s v="kg"/>
    <n v="0.76"/>
    <n v="39"/>
    <n v="1.9487179487179488E-2"/>
    <n v="11006.6"/>
    <n v="214.48758974358975"/>
  </r>
  <r>
    <x v="3"/>
    <x v="1"/>
    <s v="Azucar blanca"/>
    <s v="kg"/>
    <n v="0.94399999999999995"/>
    <n v="39"/>
    <n v="2.4205128205128205E-2"/>
    <n v="1263.5"/>
    <n v="30.583179487179489"/>
  </r>
  <r>
    <x v="3"/>
    <x v="1"/>
    <s v="Azucar mascabo"/>
    <s v="kg"/>
    <n v="0.4"/>
    <n v="39"/>
    <n v="1.0256410256410256E-2"/>
    <n v="3093.8"/>
    <n v="31.731282051282054"/>
  </r>
  <r>
    <x v="3"/>
    <x v="1"/>
    <s v="Huevo"/>
    <s v="unidades"/>
    <n v="8"/>
    <n v="39"/>
    <n v="0.20512820512820512"/>
    <n v="176.66666666666666"/>
    <n v="36.239316239316238"/>
  </r>
  <r>
    <x v="3"/>
    <x v="1"/>
    <s v="Harina 0000"/>
    <s v="kg"/>
    <n v="1"/>
    <n v="39"/>
    <n v="2.564102564102564E-2"/>
    <n v="788"/>
    <n v="20.205128205128204"/>
  </r>
  <r>
    <x v="3"/>
    <x v="1"/>
    <s v="Harina 000"/>
    <s v="kg"/>
    <n v="0.63"/>
    <n v="39"/>
    <n v="1.6153846153846154E-2"/>
    <n v="692"/>
    <n v="11.178461538461539"/>
  </r>
  <r>
    <x v="3"/>
    <x v="1"/>
    <s v="Cacao amargo"/>
    <s v="kg"/>
    <n v="0.08"/>
    <n v="39"/>
    <n v="2.0512820512820513E-3"/>
    <n v="23970"/>
    <n v="49.169230769230772"/>
  </r>
  <r>
    <x v="3"/>
    <x v="1"/>
    <s v="Bicarbonato"/>
    <s v="kg"/>
    <n v="1.2E-2"/>
    <n v="39"/>
    <n v="3.076923076923077E-4"/>
    <n v="6000"/>
    <n v="1.8461538461538463"/>
  </r>
  <r>
    <x v="3"/>
    <x v="1"/>
    <s v="Vinagre blanco"/>
    <s v="Lt"/>
    <n v="8.9999999999999993E-3"/>
    <n v="39"/>
    <n v="2.3076923076923076E-4"/>
    <n v="1000"/>
    <n v="0.23076923076923075"/>
  </r>
  <r>
    <x v="3"/>
    <x v="1"/>
    <s v="Extracto de vainilla"/>
    <s v="Lt"/>
    <n v="1.4999999999999999E-2"/>
    <n v="39"/>
    <n v="3.8461538461538462E-4"/>
    <n v="26841.8"/>
    <n v="10.32376923076923"/>
  </r>
  <r>
    <x v="3"/>
    <x v="1"/>
    <s v="Chocolate blanco chip"/>
    <s v="kg"/>
    <n v="0.36"/>
    <n v="39"/>
    <n v="9.2307692307692299E-3"/>
    <n v="10524.5"/>
    <n v="97.149230769230755"/>
  </r>
  <r>
    <x v="3"/>
    <x v="1"/>
    <s v="Colorante"/>
    <s v="gr"/>
    <n v="15"/>
    <n v="39"/>
    <n v="0.38461538461538464"/>
    <n v="73.333333333333329"/>
    <n v="28.205128205128204"/>
  </r>
  <r>
    <x v="3"/>
    <x v="1"/>
    <s v="Polvo de hornear"/>
    <s v="kg"/>
    <n v="0.02"/>
    <n v="39"/>
    <n v="5.1282051282051282E-4"/>
    <n v="5455.333333333333"/>
    <n v="2.7976068376068373"/>
  </r>
  <r>
    <x v="3"/>
    <x v="1"/>
    <s v="Queso crema"/>
    <s v="kg"/>
    <n v="0.3"/>
    <n v="42"/>
    <n v="7.1428571428571426E-3"/>
    <n v="8725"/>
    <n v="62.321428571428569"/>
  </r>
  <r>
    <x v="3"/>
    <x v="1"/>
    <s v="Azucar glass"/>
    <s v="kg"/>
    <n v="0.45"/>
    <n v="42"/>
    <n v="1.0714285714285714E-2"/>
    <n v="1750"/>
    <n v="18.75"/>
  </r>
  <r>
    <x v="3"/>
    <x v="1"/>
    <s v="Manteca"/>
    <s v="kg"/>
    <n v="0.05"/>
    <n v="42"/>
    <n v="1.1904761904761906E-3"/>
    <n v="11006.6"/>
    <n v="13.103095238095239"/>
  </r>
  <r>
    <x v="3"/>
    <x v="1"/>
    <s v="Almidon de maiz"/>
    <s v="kg"/>
    <n v="0.04"/>
    <n v="42"/>
    <n v="9.5238095238095238E-4"/>
    <n v="1600"/>
    <n v="1.5238095238095237"/>
  </r>
  <r>
    <x v="3"/>
    <x v="1"/>
    <s v="Vinagre blanco"/>
    <s v="Lt"/>
    <n v="0.01"/>
    <n v="42"/>
    <n v="2.380952380952381E-4"/>
    <n v="1000"/>
    <n v="0.23809523809523808"/>
  </r>
  <r>
    <x v="4"/>
    <x v="1"/>
    <s v="Manteca"/>
    <s v="kg"/>
    <n v="0.68799999999999994"/>
    <n v="37"/>
    <n v="1.8594594594594595E-2"/>
    <n v="11006.6"/>
    <n v="204.66326486486489"/>
  </r>
  <r>
    <x v="4"/>
    <x v="1"/>
    <s v="Azucar blanca"/>
    <s v="kg"/>
    <n v="0.98399999999999999"/>
    <n v="37"/>
    <n v="2.6594594594594595E-2"/>
    <n v="1263.5"/>
    <n v="33.602270270270267"/>
  </r>
  <r>
    <x v="4"/>
    <x v="1"/>
    <s v="Azucar mascabo"/>
    <s v="kg"/>
    <n v="0.432"/>
    <n v="37"/>
    <n v="1.1675675675675675E-2"/>
    <n v="3093.8"/>
    <n v="36.122205405405403"/>
  </r>
  <r>
    <x v="4"/>
    <x v="1"/>
    <s v="Extracto de vainilla"/>
    <s v="Lt"/>
    <n v="5.0000000000000002E-5"/>
    <n v="37"/>
    <n v="1.3513513513513515E-6"/>
    <n v="26841.8"/>
    <n v="3.6272702702702705E-2"/>
  </r>
  <r>
    <x v="4"/>
    <x v="1"/>
    <s v="Huevo"/>
    <s v="unidades"/>
    <n v="7"/>
    <n v="37"/>
    <n v="0.1891891891891892"/>
    <n v="176.66666666666666"/>
    <n v="33.423423423423422"/>
  </r>
  <r>
    <x v="4"/>
    <x v="1"/>
    <s v="Harina 0000"/>
    <s v="kg"/>
    <n v="1.1879999999999999"/>
    <n v="37"/>
    <n v="3.2108108108108109E-2"/>
    <n v="788"/>
    <n v="25.301189189189191"/>
  </r>
  <r>
    <x v="4"/>
    <x v="1"/>
    <s v="Harina 000"/>
    <s v="kg"/>
    <n v="0.79200000000000004"/>
    <n v="37"/>
    <n v="2.1405405405405406E-2"/>
    <n v="692"/>
    <n v="14.812540540540541"/>
  </r>
  <r>
    <x v="4"/>
    <x v="1"/>
    <s v="Polvo de hornear"/>
    <s v="kg"/>
    <n v="0.03"/>
    <n v="37"/>
    <n v="8.1081081081081077E-4"/>
    <n v="5455.333333333333"/>
    <n v="4.4232432432432427"/>
  </r>
  <r>
    <x v="4"/>
    <x v="1"/>
    <s v="Bicarbonato"/>
    <s v="kg"/>
    <n v="0.01"/>
    <n v="37"/>
    <n v="2.7027027027027027E-4"/>
    <n v="6000"/>
    <n v="1.6216216216216217"/>
  </r>
  <r>
    <x v="4"/>
    <x v="1"/>
    <s v="Barra de kinder"/>
    <s v="tabla"/>
    <n v="1"/>
    <n v="1"/>
    <n v="1"/>
    <n v="521.375"/>
    <n v="521.375"/>
  </r>
  <r>
    <x v="4"/>
    <x v="1"/>
    <s v="Nutella"/>
    <s v="kg"/>
    <n v="1.7999999999999999E-2"/>
    <n v="1"/>
    <n v="1.7999999999999999E-2"/>
    <n v="30658.666666666668"/>
    <n v="551.85599999999999"/>
  </r>
  <r>
    <x v="5"/>
    <x v="1"/>
    <s v="Manteca"/>
    <s v="kg"/>
    <n v="0.68799999999999994"/>
    <n v="37"/>
    <n v="1.8594594594594595E-2"/>
    <n v="11006.6"/>
    <n v="204.66326486486489"/>
  </r>
  <r>
    <x v="5"/>
    <x v="1"/>
    <s v="Azucar blanca"/>
    <s v="kg"/>
    <n v="0.98399999999999999"/>
    <n v="37"/>
    <n v="2.6594594594594595E-2"/>
    <n v="1263.5"/>
    <n v="33.602270270270267"/>
  </r>
  <r>
    <x v="5"/>
    <x v="1"/>
    <s v="Azucar mascabo"/>
    <s v="kg"/>
    <n v="0.432"/>
    <n v="37"/>
    <n v="1.1675675675675675E-2"/>
    <n v="3093.8"/>
    <n v="36.122205405405403"/>
  </r>
  <r>
    <x v="5"/>
    <x v="1"/>
    <s v="Extracto de vainilla"/>
    <s v="Lt"/>
    <n v="5.0000000000000002E-5"/>
    <n v="37"/>
    <n v="1.3513513513513515E-6"/>
    <n v="26841.8"/>
    <n v="3.6272702702702705E-2"/>
  </r>
  <r>
    <x v="5"/>
    <x v="1"/>
    <s v="Huevo"/>
    <s v="unidades"/>
    <n v="7"/>
    <n v="37"/>
    <n v="0.1891891891891892"/>
    <n v="176.66666666666666"/>
    <n v="33.423423423423422"/>
  </r>
  <r>
    <x v="5"/>
    <x v="1"/>
    <s v="Harina 0000"/>
    <s v="kg"/>
    <n v="1.1879999999999999"/>
    <n v="37"/>
    <n v="3.2108108108108109E-2"/>
    <n v="788"/>
    <n v="25.301189189189191"/>
  </r>
  <r>
    <x v="5"/>
    <x v="1"/>
    <s v="Harina 000"/>
    <s v="kg"/>
    <n v="0.79200000000000004"/>
    <n v="37"/>
    <n v="2.1405405405405406E-2"/>
    <n v="692"/>
    <n v="14.812540540540541"/>
  </r>
  <r>
    <x v="5"/>
    <x v="1"/>
    <s v="Polvo de hornear"/>
    <s v="kg"/>
    <n v="0.03"/>
    <n v="37"/>
    <n v="8.1081081081081077E-4"/>
    <n v="5455.333333333333"/>
    <n v="4.4232432432432427"/>
  </r>
  <r>
    <x v="5"/>
    <x v="1"/>
    <s v="Bicarbonato"/>
    <s v="kg"/>
    <n v="0.01"/>
    <n v="37"/>
    <n v="2.7027027027027027E-4"/>
    <n v="6000"/>
    <n v="1.6216216216216217"/>
  </r>
  <r>
    <x v="5"/>
    <x v="1"/>
    <s v="Bon o bon"/>
    <s v="caja"/>
    <n v="1"/>
    <n v="1"/>
    <n v="1"/>
    <n v="443.9"/>
    <n v="443.9"/>
  </r>
  <r>
    <x v="5"/>
    <x v="1"/>
    <s v="Nutella"/>
    <s v="kg"/>
    <n v="1.7999999999999999E-2"/>
    <n v="1"/>
    <n v="1.7999999999999999E-2"/>
    <n v="30658.666666666668"/>
    <n v="551.85599999999999"/>
  </r>
  <r>
    <x v="6"/>
    <x v="1"/>
    <s v="Manteca"/>
    <s v="kg"/>
    <n v="0.68799999999999994"/>
    <n v="37"/>
    <n v="1.8594594594594595E-2"/>
    <n v="11006.6"/>
    <n v="204.66326486486489"/>
  </r>
  <r>
    <x v="6"/>
    <x v="1"/>
    <s v="Azucar blanca"/>
    <s v="kg"/>
    <n v="0.98399999999999999"/>
    <n v="37"/>
    <n v="2.6594594594594595E-2"/>
    <n v="1263.5"/>
    <n v="33.602270270270267"/>
  </r>
  <r>
    <x v="6"/>
    <x v="1"/>
    <s v="Azucar mascabo"/>
    <s v="kg"/>
    <n v="0.432"/>
    <n v="37"/>
    <n v="1.1675675675675675E-2"/>
    <n v="3093.8"/>
    <n v="36.122205405405403"/>
  </r>
  <r>
    <x v="6"/>
    <x v="1"/>
    <s v="Extracto de vainilla"/>
    <s v="Lt"/>
    <n v="5.0000000000000002E-5"/>
    <n v="37"/>
    <n v="1.3513513513513515E-6"/>
    <n v="26841.8"/>
    <n v="3.6272702702702705E-2"/>
  </r>
  <r>
    <x v="6"/>
    <x v="1"/>
    <s v="Huevo"/>
    <s v="unidades"/>
    <n v="7"/>
    <n v="37"/>
    <n v="0.1891891891891892"/>
    <n v="176.66666666666666"/>
    <n v="33.423423423423422"/>
  </r>
  <r>
    <x v="6"/>
    <x v="1"/>
    <s v="Harina 0000"/>
    <s v="kg"/>
    <n v="1.1879999999999999"/>
    <n v="37"/>
    <n v="3.2108108108108109E-2"/>
    <n v="788"/>
    <n v="25.301189189189191"/>
  </r>
  <r>
    <x v="6"/>
    <x v="1"/>
    <s v="Harina 000"/>
    <s v="kg"/>
    <n v="0.79200000000000004"/>
    <n v="37"/>
    <n v="2.1405405405405406E-2"/>
    <n v="692"/>
    <n v="14.812540540540541"/>
  </r>
  <r>
    <x v="6"/>
    <x v="1"/>
    <s v="Polvo de hornear"/>
    <s v="kg"/>
    <n v="0.03"/>
    <n v="37"/>
    <n v="8.1081081081081077E-4"/>
    <n v="5455.333333333333"/>
    <n v="4.4232432432432427"/>
  </r>
  <r>
    <x v="6"/>
    <x v="1"/>
    <s v="Bicarbonato"/>
    <s v="kg"/>
    <n v="0.01"/>
    <n v="37"/>
    <n v="2.7027027027027027E-4"/>
    <n v="6000"/>
    <n v="1.6216216216216217"/>
  </r>
  <r>
    <x v="6"/>
    <x v="1"/>
    <s v="Bombon ferrero rocher"/>
    <s v="unidades"/>
    <n v="1"/>
    <n v="1"/>
    <n v="1"/>
    <n v="1125"/>
    <n v="1125"/>
  </r>
  <r>
    <x v="6"/>
    <x v="1"/>
    <s v="Nutella"/>
    <s v="kg"/>
    <n v="1.7999999999999999E-2"/>
    <n v="1"/>
    <n v="1.7999999999999999E-2"/>
    <n v="30658.666666666668"/>
    <n v="551.85599999999999"/>
  </r>
  <r>
    <x v="7"/>
    <x v="2"/>
    <s v="Manteca"/>
    <s v="kg"/>
    <n v="0.68799999999999994"/>
    <n v="120"/>
    <n v="5.7333333333333325E-3"/>
    <n v="11006.6"/>
    <n v="63.104506666666659"/>
  </r>
  <r>
    <x v="7"/>
    <x v="2"/>
    <s v="Azucar blanca"/>
    <s v="kg"/>
    <n v="0.98399999999999999"/>
    <n v="120"/>
    <n v="8.2000000000000007E-3"/>
    <n v="1263.5"/>
    <n v="10.360700000000001"/>
  </r>
  <r>
    <x v="7"/>
    <x v="2"/>
    <s v="Azucar mascabo"/>
    <s v="kg"/>
    <n v="0.432"/>
    <n v="120"/>
    <n v="3.5999999999999999E-3"/>
    <n v="3093.8"/>
    <n v="11.13768"/>
  </r>
  <r>
    <x v="7"/>
    <x v="2"/>
    <s v="Huevo"/>
    <s v="unidades"/>
    <n v="7"/>
    <n v="120"/>
    <n v="5.8333333333333334E-2"/>
    <n v="176.66666666666666"/>
    <n v="10.305555555555555"/>
  </r>
  <r>
    <x v="7"/>
    <x v="2"/>
    <s v="Extracto de vainilla"/>
    <s v="Lt"/>
    <n v="0.03"/>
    <n v="120"/>
    <n v="2.5000000000000001E-4"/>
    <n v="26841.8"/>
    <n v="6.7104499999999998"/>
  </r>
  <r>
    <x v="7"/>
    <x v="2"/>
    <s v="Harina 0000"/>
    <s v="kg"/>
    <n v="1.4359999999999999"/>
    <n v="120"/>
    <n v="1.1966666666666665E-2"/>
    <n v="788"/>
    <n v="9.4297333333333331"/>
  </r>
  <r>
    <x v="7"/>
    <x v="2"/>
    <s v="Harina 000"/>
    <s v="kg"/>
    <n v="0.69599999999999995"/>
    <n v="120"/>
    <n v="5.7999999999999996E-3"/>
    <n v="692"/>
    <n v="4.0135999999999994"/>
  </r>
  <r>
    <x v="7"/>
    <x v="2"/>
    <s v="Chocolate semiamargo chip"/>
    <s v="kg"/>
    <n v="0.36"/>
    <n v="120"/>
    <n v="3.0000000000000001E-3"/>
    <n v="10524.5"/>
    <n v="31.573499999999999"/>
  </r>
  <r>
    <x v="7"/>
    <x v="2"/>
    <s v="Polvo de hornear"/>
    <s v="kg"/>
    <n v="0.03"/>
    <n v="120"/>
    <n v="2.5000000000000001E-4"/>
    <n v="5455.333333333333"/>
    <n v="1.3638333333333332"/>
  </r>
  <r>
    <x v="7"/>
    <x v="2"/>
    <s v="Bicarbonato"/>
    <s v="kg"/>
    <n v="0.01"/>
    <n v="120"/>
    <n v="8.3333333333333331E-5"/>
    <n v="6000"/>
    <n v="0.5"/>
  </r>
  <r>
    <x v="8"/>
    <x v="2"/>
    <s v="Manteca"/>
    <s v="kg"/>
    <n v="0.8"/>
    <n v="131"/>
    <n v="6.1068702290076335E-3"/>
    <n v="11006.6"/>
    <n v="67.21587786259542"/>
  </r>
  <r>
    <x v="8"/>
    <x v="2"/>
    <s v="Azucar blanca"/>
    <s v="kg"/>
    <n v="0.96"/>
    <n v="131"/>
    <n v="7.3282442748091601E-3"/>
    <n v="1263.5"/>
    <n v="9.2592366412213742"/>
  </r>
  <r>
    <x v="8"/>
    <x v="2"/>
    <s v="Azucar mascabo"/>
    <s v="kg"/>
    <n v="0.36"/>
    <n v="131"/>
    <n v="2.7480916030534351E-3"/>
    <n v="3093.8"/>
    <n v="8.5020458015267177"/>
  </r>
  <r>
    <x v="8"/>
    <x v="2"/>
    <s v="Huevo"/>
    <s v="unidades"/>
    <n v="8"/>
    <n v="131"/>
    <n v="6.1068702290076333E-2"/>
    <n v="176.66666666666666"/>
    <n v="10.788804071246819"/>
  </r>
  <r>
    <x v="8"/>
    <x v="2"/>
    <s v="Harina 0000"/>
    <s v="kg"/>
    <n v="1.03"/>
    <n v="131"/>
    <n v="7.8625954198473288E-3"/>
    <n v="788"/>
    <n v="6.1957251908396946"/>
  </r>
  <r>
    <x v="8"/>
    <x v="2"/>
    <s v="Harina 000"/>
    <s v="kg"/>
    <n v="0.6"/>
    <n v="131"/>
    <n v="4.5801526717557254E-3"/>
    <n v="692"/>
    <n v="3.169465648854962"/>
  </r>
  <r>
    <x v="8"/>
    <x v="2"/>
    <s v="Cacao alcalino"/>
    <s v="kg"/>
    <n v="0.224"/>
    <n v="131"/>
    <n v="1.7099236641221374E-3"/>
    <n v="23680"/>
    <n v="40.490992366412215"/>
  </r>
  <r>
    <x v="8"/>
    <x v="2"/>
    <s v="Bicarbonato"/>
    <s v="kg"/>
    <n v="1.2E-2"/>
    <n v="131"/>
    <n v="9.1603053435114512E-5"/>
    <n v="6000"/>
    <n v="0.54961832061068705"/>
  </r>
  <r>
    <x v="8"/>
    <x v="2"/>
    <s v="Polvo de hornear"/>
    <s v="kg"/>
    <n v="0.02"/>
    <n v="131"/>
    <n v="1.5267175572519084E-4"/>
    <n v="5455.333333333333"/>
    <n v="0.83287531806615778"/>
  </r>
  <r>
    <x v="8"/>
    <x v="2"/>
    <s v="Vinagre blanco"/>
    <s v="Lt"/>
    <n v="2.4E-2"/>
    <n v="131"/>
    <n v="1.8320610687022902E-4"/>
    <n v="1000"/>
    <n v="0.18320610687022904"/>
  </r>
  <r>
    <x v="8"/>
    <x v="2"/>
    <s v="Oreo scrap"/>
    <s v="kg"/>
    <n v="0.24"/>
    <n v="131"/>
    <n v="1.83206106870229E-3"/>
    <n v="10043.799999999999"/>
    <n v="18.40085496183206"/>
  </r>
  <r>
    <x v="8"/>
    <x v="2"/>
    <s v="Chocolate blanco chip"/>
    <s v="kg"/>
    <n v="0.36"/>
    <n v="131"/>
    <n v="2.7480916030534351E-3"/>
    <n v="10524.5"/>
    <n v="28.922290076335877"/>
  </r>
  <r>
    <x v="9"/>
    <x v="2"/>
    <s v="Manteca"/>
    <s v="kg"/>
    <n v="0.68799999999999994"/>
    <n v="117"/>
    <n v="5.88034188034188E-3"/>
    <n v="11006.6"/>
    <n v="64.722570940170939"/>
  </r>
  <r>
    <x v="9"/>
    <x v="2"/>
    <s v="Azucar blanca"/>
    <s v="kg"/>
    <n v="0.98399999999999999"/>
    <n v="117"/>
    <n v="8.4102564102564101E-3"/>
    <n v="1263.5"/>
    <n v="10.626358974358974"/>
  </r>
  <r>
    <x v="9"/>
    <x v="2"/>
    <s v="Azucar mascabo"/>
    <s v="kg"/>
    <n v="0.432"/>
    <n v="117"/>
    <n v="3.6923076923076922E-3"/>
    <n v="3093.8"/>
    <n v="11.423261538461539"/>
  </r>
  <r>
    <x v="9"/>
    <x v="2"/>
    <s v="Limon (jugo de limon)"/>
    <s v="kg"/>
    <n v="0.24"/>
    <n v="117"/>
    <n v="2.0512820512820513E-3"/>
    <n v="8000"/>
    <n v="16.410256410256409"/>
  </r>
  <r>
    <x v="9"/>
    <x v="2"/>
    <s v="Huevo"/>
    <s v="unidades"/>
    <n v="4"/>
    <n v="117"/>
    <n v="3.4188034188034191E-2"/>
    <n v="176.66666666666666"/>
    <n v="6.0398860398860403"/>
  </r>
  <r>
    <x v="9"/>
    <x v="2"/>
    <s v="Harina 0000"/>
    <s v="kg"/>
    <n v="1.1919999999999999"/>
    <n v="117"/>
    <n v="1.0188034188034188E-2"/>
    <n v="788"/>
    <n v="8.0281709401709396"/>
  </r>
  <r>
    <x v="9"/>
    <x v="2"/>
    <s v="Harina 000"/>
    <s v="kg"/>
    <n v="0.73"/>
    <n v="117"/>
    <n v="6.2393162393162395E-3"/>
    <n v="692"/>
    <n v="4.3176068376068377"/>
  </r>
  <r>
    <x v="9"/>
    <x v="2"/>
    <s v="Polvo de hornear"/>
    <s v="kg"/>
    <n v="0.03"/>
    <n v="117"/>
    <n v="2.5641025641025641E-4"/>
    <n v="5455.333333333333"/>
    <n v="1.3988034188034186"/>
  </r>
  <r>
    <x v="9"/>
    <x v="2"/>
    <s v="Bicarbonato"/>
    <s v="kg"/>
    <n v="0.01"/>
    <n v="117"/>
    <n v="8.547008547008547E-5"/>
    <n v="6000"/>
    <n v="0.51282051282051277"/>
  </r>
  <r>
    <x v="9"/>
    <x v="2"/>
    <s v="Limon (ralladura)"/>
    <s v="kg"/>
    <n v="0.24"/>
    <n v="117"/>
    <n v="2.0512820512820513E-3"/>
    <n v="8000"/>
    <n v="16.410256410256409"/>
  </r>
  <r>
    <x v="9"/>
    <x v="2"/>
    <s v="Semillas amapolas"/>
    <s v="kg"/>
    <n v="6.4000000000000001E-2"/>
    <n v="117"/>
    <n v="5.4700854700854705E-4"/>
    <n v="13526"/>
    <n v="7.3988376068376072"/>
  </r>
  <r>
    <x v="10"/>
    <x v="2"/>
    <s v="Manteca"/>
    <s v="kg"/>
    <n v="0.76"/>
    <n v="117"/>
    <n v="6.4957264957264957E-3"/>
    <n v="11006.6"/>
    <n v="71.495863247863255"/>
  </r>
  <r>
    <x v="10"/>
    <x v="2"/>
    <s v="Azucar blanca"/>
    <s v="kg"/>
    <n v="0.94399999999999995"/>
    <n v="117"/>
    <n v="8.0683760683760673E-3"/>
    <n v="1263.5"/>
    <n v="10.194393162393162"/>
  </r>
  <r>
    <x v="10"/>
    <x v="2"/>
    <s v="Azucar mascabo"/>
    <s v="kg"/>
    <n v="0.4"/>
    <n v="117"/>
    <n v="3.4188034188034188E-3"/>
    <n v="3093.8"/>
    <n v="10.577094017094018"/>
  </r>
  <r>
    <x v="10"/>
    <x v="2"/>
    <s v="Huevo"/>
    <s v="unidades"/>
    <n v="8"/>
    <n v="117"/>
    <n v="6.8376068376068383E-2"/>
    <n v="176.66666666666666"/>
    <n v="12.079772079772081"/>
  </r>
  <r>
    <x v="10"/>
    <x v="2"/>
    <s v="Harina 0000"/>
    <s v="kg"/>
    <n v="1"/>
    <n v="117"/>
    <n v="8.5470085470085479E-3"/>
    <n v="788"/>
    <n v="6.735042735042736"/>
  </r>
  <r>
    <x v="10"/>
    <x v="2"/>
    <s v="Harina 000"/>
    <s v="kg"/>
    <n v="0.63"/>
    <n v="117"/>
    <n v="5.3846153846153844E-3"/>
    <n v="692"/>
    <n v="3.7261538461538461"/>
  </r>
  <r>
    <x v="10"/>
    <x v="2"/>
    <s v="Cacao amargo"/>
    <s v="kg"/>
    <n v="0.08"/>
    <n v="117"/>
    <n v="6.8376068376068376E-4"/>
    <n v="23970"/>
    <n v="16.389743589743588"/>
  </r>
  <r>
    <x v="10"/>
    <x v="2"/>
    <s v="Bicarbonato"/>
    <s v="kg"/>
    <n v="1.2E-2"/>
    <n v="117"/>
    <n v="1.0256410256410257E-4"/>
    <n v="6000"/>
    <n v="0.61538461538461542"/>
  </r>
  <r>
    <x v="10"/>
    <x v="2"/>
    <s v="Vinagre blanco"/>
    <s v="Lt"/>
    <n v="8.9999999999999993E-3"/>
    <n v="117"/>
    <n v="7.6923076923076912E-5"/>
    <n v="1000"/>
    <n v="7.6923076923076913E-2"/>
  </r>
  <r>
    <x v="10"/>
    <x v="2"/>
    <s v="Extracto de vainilla"/>
    <s v="Lt"/>
    <n v="1.4999999999999999E-2"/>
    <n v="117"/>
    <n v="1.2820512820512821E-4"/>
    <n v="26841.8"/>
    <n v="3.4412564102564103"/>
  </r>
  <r>
    <x v="10"/>
    <x v="2"/>
    <s v="Chocolate blanco chip"/>
    <s v="kg"/>
    <n v="0.36"/>
    <n v="117"/>
    <n v="3.0769230769230769E-3"/>
    <n v="10524.5"/>
    <n v="32.383076923076921"/>
  </r>
  <r>
    <x v="10"/>
    <x v="2"/>
    <s v="Colorante"/>
    <s v="gr"/>
    <n v="15"/>
    <n v="117"/>
    <n v="0.12820512820512819"/>
    <n v="73.333333333333329"/>
    <n v="9.4017094017094003"/>
  </r>
  <r>
    <x v="10"/>
    <x v="2"/>
    <s v="Polvo de hornear"/>
    <s v="kg"/>
    <n v="0.02"/>
    <n v="117"/>
    <n v="1.7094017094017094E-4"/>
    <n v="5455.333333333333"/>
    <n v="0.93253561253561246"/>
  </r>
  <r>
    <x v="11"/>
    <x v="1"/>
    <s v="Manteca"/>
    <s v="kg"/>
    <n v="0.68799999999999994"/>
    <n v="39"/>
    <n v="1.764102564102564E-2"/>
    <n v="11006.6"/>
    <n v="194.1677128205128"/>
  </r>
  <r>
    <x v="11"/>
    <x v="1"/>
    <s v="Azucar blanca"/>
    <s v="kg"/>
    <n v="0.98399999999999999"/>
    <n v="39"/>
    <n v="2.523076923076923E-2"/>
    <n v="1263.5"/>
    <n v="31.879076923076923"/>
  </r>
  <r>
    <x v="11"/>
    <x v="1"/>
    <s v="Azucar mascabo"/>
    <s v="kg"/>
    <n v="0.432"/>
    <n v="39"/>
    <n v="1.1076923076923076E-2"/>
    <n v="3093.8"/>
    <n v="34.269784615384616"/>
  </r>
  <r>
    <x v="11"/>
    <x v="1"/>
    <s v="Limon (jugo de limon)"/>
    <s v="kg"/>
    <n v="0.24"/>
    <n v="39"/>
    <n v="6.1538461538461538E-3"/>
    <n v="8000"/>
    <n v="49.230769230769234"/>
  </r>
  <r>
    <x v="11"/>
    <x v="1"/>
    <s v="Huevo"/>
    <s v="unidades"/>
    <n v="4"/>
    <n v="39"/>
    <n v="0.10256410256410256"/>
    <n v="176.66666666666666"/>
    <n v="18.119658119658119"/>
  </r>
  <r>
    <x v="11"/>
    <x v="1"/>
    <s v="Harina 0000"/>
    <s v="kg"/>
    <n v="1.1919999999999999"/>
    <n v="39"/>
    <n v="3.0564102564102563E-2"/>
    <n v="788"/>
    <n v="24.08451282051282"/>
  </r>
  <r>
    <x v="11"/>
    <x v="1"/>
    <s v="Harina 000"/>
    <s v="kg"/>
    <n v="0.73"/>
    <n v="39"/>
    <n v="1.8717948717948716E-2"/>
    <n v="692"/>
    <n v="12.952820512820512"/>
  </r>
  <r>
    <x v="11"/>
    <x v="1"/>
    <s v="Polvo de hornear"/>
    <s v="kg"/>
    <n v="0.03"/>
    <n v="39"/>
    <n v="7.6923076923076923E-4"/>
    <n v="5455.333333333333"/>
    <n v="4.1964102564102559"/>
  </r>
  <r>
    <x v="11"/>
    <x v="1"/>
    <s v="Bicarbonato"/>
    <s v="kg"/>
    <n v="0.01"/>
    <n v="39"/>
    <n v="2.5641025641025641E-4"/>
    <n v="6000"/>
    <n v="1.5384615384615385"/>
  </r>
  <r>
    <x v="11"/>
    <x v="1"/>
    <s v="Limon (ralladura)"/>
    <s v="kg"/>
    <n v="0.24"/>
    <n v="39"/>
    <n v="6.1538461538461538E-3"/>
    <n v="8000"/>
    <n v="49.230769230769234"/>
  </r>
  <r>
    <x v="11"/>
    <x v="1"/>
    <s v="Semillas amapolas"/>
    <s v="kg"/>
    <n v="6.4000000000000001E-2"/>
    <n v="39"/>
    <n v="1.6410256410256412E-3"/>
    <n v="13526"/>
    <n v="22.196512820512822"/>
  </r>
  <r>
    <x v="12"/>
    <x v="1"/>
    <s v="Manteca"/>
    <s v="kg"/>
    <n v="0.8"/>
    <n v="43"/>
    <n v="1.8604651162790697E-2"/>
    <n v="11006.6"/>
    <n v="204.77395348837209"/>
  </r>
  <r>
    <x v="12"/>
    <x v="1"/>
    <s v="Azucar blanca"/>
    <s v="kg"/>
    <n v="0.96"/>
    <n v="43"/>
    <n v="2.2325581395348838E-2"/>
    <n v="1263.5"/>
    <n v="28.208372093023257"/>
  </r>
  <r>
    <x v="12"/>
    <x v="1"/>
    <s v="Azucar mascabo"/>
    <s v="kg"/>
    <n v="0.36"/>
    <n v="43"/>
    <n v="8.3720930232558128E-3"/>
    <n v="3093.8"/>
    <n v="25.901581395348835"/>
  </r>
  <r>
    <x v="12"/>
    <x v="1"/>
    <s v="Huevo"/>
    <s v="unidades"/>
    <n v="8"/>
    <n v="43"/>
    <n v="0.18604651162790697"/>
    <n v="176.66666666666666"/>
    <n v="32.86821705426356"/>
  </r>
  <r>
    <x v="12"/>
    <x v="1"/>
    <s v="Harina 0000"/>
    <s v="kg"/>
    <n v="1.03"/>
    <n v="43"/>
    <n v="2.3953488372093025E-2"/>
    <n v="788"/>
    <n v="18.875348837209305"/>
  </r>
  <r>
    <x v="12"/>
    <x v="1"/>
    <s v="Harina 000"/>
    <s v="kg"/>
    <n v="0.6"/>
    <n v="43"/>
    <n v="1.3953488372093023E-2"/>
    <n v="692"/>
    <n v="9.6558139534883711"/>
  </r>
  <r>
    <x v="12"/>
    <x v="1"/>
    <s v="Cacao alcalino"/>
    <s v="kg"/>
    <n v="0.224"/>
    <n v="43"/>
    <n v="5.209302325581395E-3"/>
    <n v="23680"/>
    <n v="123.35627906976744"/>
  </r>
  <r>
    <x v="12"/>
    <x v="1"/>
    <s v="Bicarbonato"/>
    <s v="kg"/>
    <n v="1.2E-2"/>
    <n v="43"/>
    <n v="2.7906976744186045E-4"/>
    <n v="6000"/>
    <n v="1.6744186046511627"/>
  </r>
  <r>
    <x v="12"/>
    <x v="1"/>
    <s v="Polvo de hornear"/>
    <s v="kg"/>
    <n v="0.02"/>
    <n v="43"/>
    <n v="4.6511627906976747E-4"/>
    <n v="5455.333333333333"/>
    <n v="2.5373643410852713"/>
  </r>
  <r>
    <x v="12"/>
    <x v="1"/>
    <s v="Vinagre blanco"/>
    <s v="Lt"/>
    <n v="2.4E-2"/>
    <n v="43"/>
    <n v="5.581395348837209E-4"/>
    <n v="1000"/>
    <n v="0.55813953488372092"/>
  </r>
  <r>
    <x v="12"/>
    <x v="1"/>
    <s v="Oreo scrap"/>
    <s v="kg"/>
    <n v="0.24"/>
    <n v="43"/>
    <n v="5.5813953488372094E-3"/>
    <n v="10043.799999999999"/>
    <n v="56.058418604651159"/>
  </r>
  <r>
    <x v="12"/>
    <x v="1"/>
    <s v="Chocolate blanco chip"/>
    <s v="kg"/>
    <n v="0.36"/>
    <n v="43"/>
    <n v="8.3720930232558128E-3"/>
    <n v="10524.5"/>
    <n v="88.112093023255795"/>
  </r>
  <r>
    <x v="12"/>
    <x v="1"/>
    <s v="Chocolate blanco chip"/>
    <s v="kg"/>
    <n v="0.3"/>
    <n v="26"/>
    <n v="1.1538461538461537E-2"/>
    <n v="10524.5"/>
    <n v="121.43653846153845"/>
  </r>
  <r>
    <x v="12"/>
    <x v="1"/>
    <s v="Crema de leche"/>
    <s v="kg"/>
    <n v="0.1"/>
    <n v="26"/>
    <n v="3.8461538461538464E-3"/>
    <n v="9606.5"/>
    <n v="36.948076923076925"/>
  </r>
  <r>
    <x v="11"/>
    <x v="1"/>
    <s v="Frutos rojos"/>
    <s v="kg"/>
    <n v="2"/>
    <n v="171"/>
    <n v="1.1695906432748537E-2"/>
    <n v="9679"/>
    <n v="113.20467836257309"/>
  </r>
  <r>
    <x v="11"/>
    <x v="1"/>
    <s v="Azucar blanca"/>
    <s v="kg"/>
    <n v="0.6"/>
    <n v="171"/>
    <n v="3.5087719298245615E-3"/>
    <n v="1263.5"/>
    <n v="4.4333333333333336"/>
  </r>
  <r>
    <x v="11"/>
    <x v="1"/>
    <s v="Limon (jugo de limon)"/>
    <s v="kg"/>
    <n v="0.04"/>
    <n v="171"/>
    <n v="2.3391812865497077E-4"/>
    <n v="8000"/>
    <n v="1.8713450292397662"/>
  </r>
  <r>
    <x v="13"/>
    <x v="2"/>
    <s v="Manteca"/>
    <s v="kg"/>
    <n v="0.76800000000000002"/>
    <n v="119"/>
    <n v="6.4537815126050422E-3"/>
    <n v="11006.6"/>
    <n v="71.034191596638664"/>
  </r>
  <r>
    <x v="13"/>
    <x v="2"/>
    <s v="Azucar blanca"/>
    <s v="kg"/>
    <n v="0.93"/>
    <n v="119"/>
    <n v="7.8151260504201684E-3"/>
    <n v="1263.5"/>
    <n v="9.8744117647058829"/>
  </r>
  <r>
    <x v="13"/>
    <x v="2"/>
    <s v="Azucar mascabo"/>
    <s v="kg"/>
    <n v="0.52"/>
    <n v="119"/>
    <n v="4.3697478991596636E-3"/>
    <n v="3093.8"/>
    <n v="13.519126050420168"/>
  </r>
  <r>
    <x v="13"/>
    <x v="2"/>
    <s v="Huevo"/>
    <s v="unidades"/>
    <n v="7"/>
    <n v="119"/>
    <n v="5.8823529411764705E-2"/>
    <n v="176.66666666666666"/>
    <n v="10.392156862745097"/>
  </r>
  <r>
    <x v="13"/>
    <x v="2"/>
    <s v="Extracto de vainilla"/>
    <s v="Lt"/>
    <n v="0.03"/>
    <n v="119"/>
    <n v="2.5210084033613445E-4"/>
    <n v="26841.8"/>
    <n v="6.7668403361344538"/>
  </r>
  <r>
    <x v="13"/>
    <x v="2"/>
    <s v="Harina 0000"/>
    <s v="kg"/>
    <n v="1"/>
    <n v="119"/>
    <n v="8.4033613445378148E-3"/>
    <n v="788"/>
    <n v="6.6218487394957979"/>
  </r>
  <r>
    <x v="13"/>
    <x v="2"/>
    <s v="Harina 000"/>
    <s v="kg"/>
    <n v="0.62"/>
    <n v="119"/>
    <n v="5.2100840336134456E-3"/>
    <n v="692"/>
    <n v="3.6053781512605045"/>
  </r>
  <r>
    <x v="13"/>
    <x v="2"/>
    <s v="Cacao amargo"/>
    <s v="kg"/>
    <n v="0.18"/>
    <n v="119"/>
    <n v="1.5126050420168067E-3"/>
    <n v="23970"/>
    <n v="36.257142857142853"/>
  </r>
  <r>
    <x v="13"/>
    <x v="2"/>
    <s v="Polvo de hornear"/>
    <s v="kg"/>
    <n v="0.03"/>
    <n v="119"/>
    <n v="2.5210084033613445E-4"/>
    <n v="5455.333333333333"/>
    <n v="1.3752941176470588"/>
  </r>
  <r>
    <x v="13"/>
    <x v="2"/>
    <s v="Bicarbonato"/>
    <s v="kg"/>
    <n v="8.0000000000000002E-3"/>
    <n v="119"/>
    <n v="6.7226890756302523E-5"/>
    <n v="6000"/>
    <n v="0.40336134453781514"/>
  </r>
  <r>
    <x v="13"/>
    <x v="2"/>
    <s v="Chocolate blanco chip"/>
    <s v="kg"/>
    <n v="0.36"/>
    <n v="119"/>
    <n v="3.0252100840336134E-3"/>
    <n v="10524.5"/>
    <n v="31.838823529411766"/>
  </r>
  <r>
    <x v="14"/>
    <x v="1"/>
    <s v="Harina 0000"/>
    <s v="kg"/>
    <n v="1"/>
    <n v="38.333333333333336"/>
    <n v="2.6086956521739129E-2"/>
    <n v="788"/>
    <n v="20.556521739130435"/>
  </r>
  <r>
    <x v="14"/>
    <x v="1"/>
    <s v="Harina 000"/>
    <s v="kg"/>
    <n v="0.62"/>
    <n v="38.333333333333336"/>
    <n v="1.6173913043478261E-2"/>
    <n v="692"/>
    <n v="11.192347826086957"/>
  </r>
  <r>
    <x v="14"/>
    <x v="1"/>
    <s v="Cacao amargo"/>
    <s v="kg"/>
    <n v="0.18"/>
    <n v="38.333333333333336"/>
    <n v="4.6956521739130426E-3"/>
    <n v="23970"/>
    <n v="112.55478260869563"/>
  </r>
  <r>
    <x v="14"/>
    <x v="1"/>
    <s v="Polvo de hornear"/>
    <s v="kg"/>
    <n v="0.03"/>
    <n v="38.333333333333336"/>
    <n v="7.8260869565217384E-4"/>
    <n v="5455.333333333333"/>
    <n v="4.2693913043478258"/>
  </r>
  <r>
    <x v="14"/>
    <x v="1"/>
    <s v="Bicarbonato"/>
    <s v="kg"/>
    <n v="8.0000000000000002E-3"/>
    <n v="38.333333333333336"/>
    <n v="2.0869565217391303E-4"/>
    <n v="6000"/>
    <n v="1.2521739130434781"/>
  </r>
  <r>
    <x v="14"/>
    <x v="1"/>
    <s v="Azucar blanca"/>
    <s v="kg"/>
    <n v="0.93"/>
    <n v="38.333333333333336"/>
    <n v="2.4260869565217391E-2"/>
    <n v="1263.5"/>
    <n v="30.653608695652174"/>
  </r>
  <r>
    <x v="14"/>
    <x v="1"/>
    <s v="Azucar mascabo"/>
    <s v="kg"/>
    <n v="0.52"/>
    <n v="38.333333333333336"/>
    <n v="1.3565217391304348E-2"/>
    <n v="3093.8"/>
    <n v="41.968069565217391"/>
  </r>
  <r>
    <x v="14"/>
    <x v="1"/>
    <s v="Manteca"/>
    <s v="kg"/>
    <n v="0.76800000000000002"/>
    <n v="38.333333333333336"/>
    <n v="2.003478260869565E-2"/>
    <n v="11006.6"/>
    <n v="220.51483826086957"/>
  </r>
  <r>
    <x v="14"/>
    <x v="1"/>
    <s v="Huevo"/>
    <s v="unidades"/>
    <n v="7"/>
    <n v="38.333333333333336"/>
    <n v="0.18260869565217391"/>
    <n v="176.66666666666666"/>
    <n v="32.260869565217391"/>
  </r>
  <r>
    <x v="14"/>
    <x v="1"/>
    <s v="Chocolate semiamargo chip"/>
    <s v="kg"/>
    <n v="0.36"/>
    <n v="38.333333333333336"/>
    <n v="9.3913043478260853E-3"/>
    <n v="10524.5"/>
    <n v="98.838782608695638"/>
  </r>
  <r>
    <x v="14"/>
    <x v="1"/>
    <s v="Extracto de vainilla"/>
    <s v="Lt"/>
    <n v="1.4999999999999999E-2"/>
    <n v="38.333333333333336"/>
    <n v="3.9130434782608692E-4"/>
    <n v="26841.8"/>
    <n v="10.50331304347826"/>
  </r>
  <r>
    <x v="14"/>
    <x v="1"/>
    <s v="Licor de chocolate"/>
    <s v="Lt"/>
    <n v="1.4999999999999999E-2"/>
    <n v="38.333333333333336"/>
    <n v="3.9130434782608692E-4"/>
    <n v="8437.1428571428569"/>
    <n v="3.3014906832298134"/>
  </r>
  <r>
    <x v="14"/>
    <x v="1"/>
    <s v="Chocolina"/>
    <s v="gr"/>
    <n v="6.58"/>
    <n v="38.333333333333336"/>
    <n v="0.17165217391304347"/>
    <n v="7.968"/>
    <n v="1.3677245217391303"/>
  </r>
  <r>
    <x v="15"/>
    <x v="1"/>
    <s v="Manteca"/>
    <s v="kg"/>
    <n v="0.76800000000000002"/>
    <n v="39"/>
    <n v="1.9692307692307693E-2"/>
    <n v="11006.6"/>
    <n v="216.74535384615385"/>
  </r>
  <r>
    <x v="15"/>
    <x v="1"/>
    <s v="Azucar blanca"/>
    <s v="kg"/>
    <n v="0.93"/>
    <n v="39"/>
    <n v="2.3846153846153847E-2"/>
    <n v="1263.5"/>
    <n v="30.129615384615384"/>
  </r>
  <r>
    <x v="15"/>
    <x v="1"/>
    <s v="Azucar mascabo"/>
    <s v="kg"/>
    <n v="0.52"/>
    <n v="39"/>
    <n v="1.3333333333333334E-2"/>
    <n v="3093.8"/>
    <n v="41.250666666666675"/>
  </r>
  <r>
    <x v="15"/>
    <x v="1"/>
    <s v="Huevo"/>
    <s v="unidades"/>
    <n v="7"/>
    <n v="39"/>
    <n v="0.17948717948717949"/>
    <n v="176.66666666666666"/>
    <n v="31.709401709401707"/>
  </r>
  <r>
    <x v="15"/>
    <x v="1"/>
    <s v="Extracto de vainilla"/>
    <s v="Lt"/>
    <n v="0.03"/>
    <n v="39"/>
    <n v="7.6923076923076923E-4"/>
    <n v="26841.8"/>
    <n v="20.64753846153846"/>
  </r>
  <r>
    <x v="15"/>
    <x v="1"/>
    <s v="Harina 0000"/>
    <s v="kg"/>
    <n v="1"/>
    <n v="39"/>
    <n v="2.564102564102564E-2"/>
    <n v="788"/>
    <n v="20.205128205128204"/>
  </r>
  <r>
    <x v="15"/>
    <x v="1"/>
    <s v="Harina 000"/>
    <s v="kg"/>
    <n v="0.62"/>
    <n v="39"/>
    <n v="1.5897435897435898E-2"/>
    <n v="692"/>
    <n v="11.001025641025642"/>
  </r>
  <r>
    <x v="15"/>
    <x v="1"/>
    <s v="Cacao amargo"/>
    <s v="kg"/>
    <n v="0.18"/>
    <n v="39"/>
    <n v="4.6153846153846149E-3"/>
    <n v="23970"/>
    <n v="110.63076923076922"/>
  </r>
  <r>
    <x v="15"/>
    <x v="1"/>
    <s v="Polvo de hornear"/>
    <s v="kg"/>
    <n v="0.03"/>
    <n v="39"/>
    <n v="7.6923076923076923E-4"/>
    <n v="5455.333333333333"/>
    <n v="4.1964102564102559"/>
  </r>
  <r>
    <x v="15"/>
    <x v="1"/>
    <s v="Bicarbonato"/>
    <s v="kg"/>
    <n v="8.0000000000000002E-3"/>
    <n v="39"/>
    <n v="2.0512820512820514E-4"/>
    <n v="6000"/>
    <n v="1.2307692307692308"/>
  </r>
  <r>
    <x v="15"/>
    <x v="1"/>
    <s v="Chocolate blanco chip"/>
    <s v="kg"/>
    <n v="0.36"/>
    <n v="39"/>
    <n v="9.2307692307692299E-3"/>
    <n v="10524.5"/>
    <n v="97.149230769230755"/>
  </r>
  <r>
    <x v="15"/>
    <x v="1"/>
    <s v="Franui"/>
    <s v="gr"/>
    <n v="6.81"/>
    <n v="1"/>
    <n v="6.81"/>
    <n v="47.093333333333334"/>
    <n v="320.70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578.12713472222231"/>
    <n v="1"/>
    <n v="578.12713472222231"/>
    <n v="149.37234000000001"/>
    <n v="727.49947472222232"/>
    <m/>
    <n v="2000"/>
    <n v="1818.7486868055557"/>
    <n v="2200"/>
    <n v="2200"/>
    <n v="1272.5005252777778"/>
    <n v="200"/>
    <n v="0.63625026263888895"/>
  </r>
  <r>
    <x v="1"/>
    <x v="1"/>
    <n v="539.65356805555564"/>
    <n v="2"/>
    <n v="1079.3071361111113"/>
    <n v="216.05734000000001"/>
    <n v="3793.8224733333336"/>
    <m/>
    <n v="8500"/>
    <n v="9484.556183333334"/>
    <n v="9350"/>
    <n v="9484.556183333334"/>
    <n v="4706.1775266666664"/>
    <n v="984.55618333333405"/>
    <n v="0.55366794431372546"/>
  </r>
  <r>
    <x v="1"/>
    <x v="2"/>
    <n v="764.07659305555558"/>
    <n v="1"/>
    <n v="764.07659305555558"/>
    <m/>
    <m/>
    <m/>
    <m/>
    <n v="0"/>
    <n v="0"/>
    <n v="0"/>
    <m/>
    <n v="0"/>
    <m/>
  </r>
  <r>
    <x v="1"/>
    <x v="0"/>
    <n v="578.12713472222231"/>
    <n v="3"/>
    <n v="1734.3814041666669"/>
    <m/>
    <m/>
    <m/>
    <m/>
    <n v="0"/>
    <n v="0"/>
    <n v="0"/>
    <m/>
    <n v="0"/>
    <m/>
  </r>
  <r>
    <x v="2"/>
    <x v="3"/>
    <n v="148.49955888888888"/>
    <n v="5"/>
    <n v="742.49779444444448"/>
    <n v="216.05734000000001"/>
    <n v="2223.5237873271567"/>
    <m/>
    <n v="8500"/>
    <n v="5558.8094683178915"/>
    <n v="9350"/>
    <n v="9350"/>
    <n v="6276.4762126728438"/>
    <n v="850"/>
    <n v="0.73840896619680518"/>
  </r>
  <r>
    <x v="2"/>
    <x v="4"/>
    <n v="147.28882962962962"/>
    <n v="1"/>
    <n v="147.28882962962962"/>
    <m/>
    <m/>
    <m/>
    <m/>
    <n v="0"/>
    <n v="0"/>
    <n v="0"/>
    <m/>
    <n v="0"/>
    <m/>
  </r>
  <r>
    <x v="2"/>
    <x v="5"/>
    <n v="194.51099236641221"/>
    <n v="3"/>
    <n v="583.53297709923663"/>
    <m/>
    <m/>
    <m/>
    <m/>
    <n v="0"/>
    <n v="0"/>
    <n v="0"/>
    <m/>
    <n v="0"/>
    <m/>
  </r>
  <r>
    <x v="2"/>
    <x v="6"/>
    <n v="178.04894871794872"/>
    <n v="3"/>
    <n v="534.14684615384613"/>
    <m/>
    <m/>
    <m/>
    <m/>
    <n v="0"/>
    <n v="0"/>
    <n v="0"/>
    <m/>
    <n v="0"/>
    <m/>
  </r>
  <r>
    <x v="3"/>
    <x v="3"/>
    <n v="148.49955888888888"/>
    <n v="2"/>
    <n v="296.99911777777777"/>
    <n v="149.37234000000001"/>
    <n v="1191.4913399464995"/>
    <m/>
    <n v="4500"/>
    <n v="2978.7283498662487"/>
    <n v="4950"/>
    <n v="4950"/>
    <n v="3308.5086600535005"/>
    <n v="450"/>
    <n v="0.73522414667855562"/>
  </r>
  <r>
    <x v="3"/>
    <x v="6"/>
    <n v="178.04894871794872"/>
    <n v="2"/>
    <n v="356.09789743589744"/>
    <m/>
    <m/>
    <m/>
    <m/>
    <n v="0"/>
    <n v="0"/>
    <n v="0"/>
    <m/>
    <n v="0"/>
    <m/>
  </r>
  <r>
    <x v="3"/>
    <x v="5"/>
    <n v="194.51099236641221"/>
    <n v="2"/>
    <n v="389.02198473282442"/>
    <m/>
    <m/>
    <m/>
    <m/>
    <n v="0"/>
    <n v="0"/>
    <n v="0"/>
    <m/>
    <n v="0"/>
    <m/>
  </r>
  <r>
    <x v="4"/>
    <x v="4"/>
    <n v="147.28882962962962"/>
    <n v="3"/>
    <n v="441.86648888888885"/>
    <n v="432.11468000000002"/>
    <n v="6200.8742604753052"/>
    <m/>
    <n v="16000"/>
    <n v="15502.185651188263"/>
    <n v="17600"/>
    <n v="17600"/>
    <n v="9799.1257395246939"/>
    <n v="1600"/>
    <n v="0.61244535872029338"/>
  </r>
  <r>
    <x v="4"/>
    <x v="5"/>
    <n v="194.51099236641221"/>
    <n v="3"/>
    <n v="583.53297709923663"/>
    <m/>
    <m/>
    <m/>
    <m/>
    <n v="0"/>
    <n v="0"/>
    <n v="0"/>
    <m/>
    <n v="0"/>
    <m/>
  </r>
  <r>
    <x v="4"/>
    <x v="6"/>
    <n v="178.04894871794872"/>
    <n v="3"/>
    <n v="534.14684615384613"/>
    <m/>
    <m/>
    <m/>
    <m/>
    <n v="0"/>
    <n v="0"/>
    <n v="0"/>
    <m/>
    <n v="0"/>
    <m/>
  </r>
  <r>
    <x v="4"/>
    <x v="3"/>
    <n v="148.49955888888888"/>
    <n v="3"/>
    <n v="445.49867666666665"/>
    <m/>
    <m/>
    <m/>
    <m/>
    <n v="0"/>
    <n v="0"/>
    <n v="0"/>
    <m/>
    <n v="0"/>
    <m/>
  </r>
  <r>
    <x v="4"/>
    <x v="2"/>
    <n v="764.07659305555558"/>
    <n v="2"/>
    <n v="1528.1531861111112"/>
    <m/>
    <m/>
    <m/>
    <m/>
    <n v="0"/>
    <n v="0"/>
    <n v="0"/>
    <m/>
    <n v="0"/>
    <m/>
  </r>
  <r>
    <x v="4"/>
    <x v="0"/>
    <n v="578.12713472222231"/>
    <n v="2"/>
    <n v="1156.2542694444446"/>
    <m/>
    <m/>
    <m/>
    <m/>
    <n v="0"/>
    <n v="0"/>
    <n v="0"/>
    <m/>
    <n v="0"/>
    <m/>
  </r>
  <r>
    <x v="4"/>
    <x v="1"/>
    <n v="539.65356805555564"/>
    <n v="2"/>
    <n v="1079.3071361111113"/>
    <m/>
    <m/>
    <m/>
    <m/>
    <n v="0"/>
    <n v="0"/>
    <n v="0"/>
    <m/>
    <n v="0"/>
    <m/>
  </r>
  <r>
    <x v="5"/>
    <x v="3"/>
    <n v="148.49955888888888"/>
    <n v="2"/>
    <n v="296.99911777777777"/>
    <n v="216.05734000000001"/>
    <n v="3942.5837955020552"/>
    <m/>
    <n v="10000"/>
    <n v="9856.4594887551375"/>
    <n v="11000"/>
    <n v="11000"/>
    <n v="6057.4162044979448"/>
    <n v="1000"/>
    <n v="0.60574162044979452"/>
  </r>
  <r>
    <x v="5"/>
    <x v="6"/>
    <n v="178.04894871794872"/>
    <n v="2"/>
    <n v="356.09789743589744"/>
    <m/>
    <m/>
    <m/>
    <m/>
    <n v="0"/>
    <n v="0"/>
    <n v="0"/>
    <m/>
    <n v="0"/>
    <m/>
  </r>
  <r>
    <x v="5"/>
    <x v="5"/>
    <n v="194.51099236641221"/>
    <n v="2"/>
    <n v="389.02198473282442"/>
    <m/>
    <m/>
    <m/>
    <m/>
    <n v="0"/>
    <n v="0"/>
    <n v="0"/>
    <m/>
    <n v="0"/>
    <m/>
  </r>
  <r>
    <x v="5"/>
    <x v="0"/>
    <n v="578.12713472222231"/>
    <n v="2"/>
    <n v="1156.2542694444446"/>
    <m/>
    <m/>
    <m/>
    <m/>
    <n v="0"/>
    <n v="0"/>
    <n v="0"/>
    <m/>
    <n v="0"/>
    <m/>
  </r>
  <r>
    <x v="5"/>
    <x v="2"/>
    <n v="764.07659305555558"/>
    <n v="2"/>
    <n v="1528.1531861111112"/>
    <m/>
    <m/>
    <m/>
    <m/>
    <n v="0"/>
    <n v="0"/>
    <n v="0"/>
    <m/>
    <n v="0"/>
    <m/>
  </r>
  <r>
    <x v="6"/>
    <x v="7"/>
    <n v="1349.7620312612612"/>
    <n v="1"/>
    <n v="1349.7620312612612"/>
    <n v="216.05734000000001"/>
    <n v="3554.4322481365575"/>
    <m/>
    <n v="10000"/>
    <n v="8886.080620341394"/>
    <n v="11000"/>
    <n v="11000"/>
    <n v="6445.567751863442"/>
    <n v="1000"/>
    <n v="0.64455677518634424"/>
  </r>
  <r>
    <x v="6"/>
    <x v="8"/>
    <n v="561.37584561403503"/>
    <n v="1"/>
    <n v="561.37584561403503"/>
    <m/>
    <m/>
    <m/>
    <m/>
    <n v="0"/>
    <n v="0"/>
    <n v="0"/>
    <m/>
    <n v="0"/>
    <m/>
  </r>
  <r>
    <x v="6"/>
    <x v="9"/>
    <n v="1427.2370312612613"/>
    <n v="1"/>
    <n v="1427.2370312612613"/>
    <m/>
    <m/>
    <m/>
    <m/>
    <n v="0"/>
    <n v="0"/>
    <n v="0"/>
    <m/>
    <n v="0"/>
    <m/>
  </r>
  <r>
    <x v="7"/>
    <x v="5"/>
    <n v="194.51099236641221"/>
    <n v="1"/>
    <n v="194.51099236641221"/>
    <n v="149.37234000000001"/>
    <n v="343.88333236641222"/>
    <m/>
    <n v="800"/>
    <n v="859.70833091603049"/>
    <n v="880.00000000000011"/>
    <n v="880.00000000000011"/>
    <n v="456.11666763358778"/>
    <n v="80.000000000000114"/>
    <n v="0.57014583454198475"/>
  </r>
  <r>
    <x v="8"/>
    <x v="10"/>
    <n v="589.23391433540348"/>
    <n v="1"/>
    <n v="589.23391433540348"/>
    <n v="149.37234000000001"/>
    <n v="738.60625433540349"/>
    <m/>
    <n v="3500"/>
    <n v="1846.5156358385088"/>
    <n v="3850.0000000000005"/>
    <n v="3850.0000000000005"/>
    <n v="2761.3937456645963"/>
    <n v="350.00000000000045"/>
    <n v="0.78896964161845606"/>
  </r>
  <r>
    <x v="8"/>
    <x v="7"/>
    <n v="1349.7620312612612"/>
    <n v="1"/>
    <n v="1349.7620312612612"/>
    <n v="149.37234000000001"/>
    <n v="1499.1343712612611"/>
    <m/>
    <n v="3500"/>
    <n v="3747.835928153153"/>
    <n v="3850.0000000000005"/>
    <n v="3850.0000000000005"/>
    <n v="2000.8656287387389"/>
    <n v="350.00000000000045"/>
    <n v="0.57167589392535401"/>
  </r>
  <r>
    <x v="8"/>
    <x v="9"/>
    <n v="1427.2370312612613"/>
    <n v="1"/>
    <n v="1427.2370312612613"/>
    <n v="149.37234000000001"/>
    <n v="1576.6093712612615"/>
    <m/>
    <n v="3500"/>
    <n v="3941.5234281531539"/>
    <n v="3850.0000000000005"/>
    <n v="3941.5234281531539"/>
    <n v="1923.3906287387385"/>
    <n v="441.52342815315387"/>
    <n v="0.54954017963963964"/>
  </r>
  <r>
    <x v="8"/>
    <x v="11"/>
    <n v="630.08327472527458"/>
    <n v="1"/>
    <n v="630.08327472527458"/>
    <n v="149.37234000000001"/>
    <n v="779.45561472527459"/>
    <m/>
    <n v="3500"/>
    <n v="1948.6390368131865"/>
    <n v="3850.0000000000005"/>
    <n v="3850.0000000000005"/>
    <n v="2720.5443852747253"/>
    <n v="350.00000000000045"/>
    <n v="0.77729839579277871"/>
  </r>
  <r>
    <x v="8"/>
    <x v="12"/>
    <n v="905.60150940170945"/>
    <n v="1"/>
    <n v="905.60150940170945"/>
    <n v="149.37234000000001"/>
    <n v="1054.9738494017095"/>
    <m/>
    <n v="3500"/>
    <n v="2637.4346235042735"/>
    <n v="3850.0000000000005"/>
    <n v="3850.0000000000005"/>
    <n v="2445.0261505982908"/>
    <n v="350.00000000000045"/>
    <n v="0.69857890017094026"/>
  </r>
  <r>
    <x v="8"/>
    <x v="8"/>
    <n v="561.37584561403503"/>
    <n v="1"/>
    <n v="561.37584561403503"/>
    <n v="149.37234000000001"/>
    <n v="710.74818561403504"/>
    <m/>
    <n v="3500"/>
    <n v="1776.8704640350875"/>
    <n v="3850.0000000000005"/>
    <n v="3850.0000000000005"/>
    <n v="2789.2518143859652"/>
    <n v="350.00000000000045"/>
    <n v="0.79692908982456145"/>
  </r>
  <r>
    <x v="9"/>
    <x v="9"/>
    <n v="1427.2370312612613"/>
    <n v="1"/>
    <n v="1427.2370312612613"/>
    <n v="432.11468000000002"/>
    <n v="6122.1816992513886"/>
    <m/>
    <m/>
    <m/>
    <m/>
    <m/>
    <m/>
    <m/>
    <m/>
  </r>
  <r>
    <x v="9"/>
    <x v="7"/>
    <n v="1349.7620312612612"/>
    <n v="1"/>
    <n v="1349.7620312612612"/>
    <m/>
    <m/>
    <m/>
    <m/>
    <m/>
    <m/>
    <m/>
    <m/>
    <m/>
    <m/>
  </r>
  <r>
    <x v="9"/>
    <x v="12"/>
    <n v="905.60150940170945"/>
    <n v="1"/>
    <n v="905.60150940170945"/>
    <m/>
    <m/>
    <m/>
    <m/>
    <m/>
    <m/>
    <m/>
    <m/>
    <m/>
    <m/>
  </r>
  <r>
    <x v="9"/>
    <x v="3"/>
    <n v="148.49955888888888"/>
    <n v="5"/>
    <n v="742.49779444444448"/>
    <m/>
    <m/>
    <m/>
    <m/>
    <m/>
    <m/>
    <m/>
    <m/>
    <m/>
    <m/>
  </r>
  <r>
    <x v="9"/>
    <x v="4"/>
    <n v="147.28882962962962"/>
    <n v="1"/>
    <n v="147.28882962962962"/>
    <m/>
    <m/>
    <m/>
    <m/>
    <m/>
    <m/>
    <m/>
    <m/>
    <m/>
    <m/>
  </r>
  <r>
    <x v="9"/>
    <x v="5"/>
    <n v="194.51099236641221"/>
    <n v="3"/>
    <n v="583.53297709923663"/>
    <m/>
    <m/>
    <m/>
    <m/>
    <m/>
    <m/>
    <m/>
    <m/>
    <m/>
    <m/>
  </r>
  <r>
    <x v="9"/>
    <x v="6"/>
    <n v="178.04894871794872"/>
    <n v="3"/>
    <n v="534.14684615384613"/>
    <m/>
    <m/>
    <m/>
    <m/>
    <m/>
    <m/>
    <m/>
    <m/>
    <m/>
    <m/>
  </r>
  <r>
    <x v="10"/>
    <x v="9"/>
    <n v="1427.2370312612613"/>
    <n v="1"/>
    <n v="1427.2370312612613"/>
    <n v="216.05734000000001"/>
    <n v="2796.3929490496412"/>
    <m/>
    <m/>
    <m/>
    <m/>
    <m/>
    <m/>
    <m/>
    <m/>
  </r>
  <r>
    <x v="10"/>
    <x v="2"/>
    <n v="764.07659305555558"/>
    <n v="1"/>
    <n v="764.07659305555558"/>
    <m/>
    <m/>
    <m/>
    <m/>
    <m/>
    <m/>
    <m/>
    <m/>
    <m/>
    <m/>
  </r>
  <r>
    <x v="10"/>
    <x v="5"/>
    <n v="194.51099236641221"/>
    <n v="2"/>
    <n v="389.02198473282442"/>
    <m/>
    <m/>
    <m/>
    <m/>
    <m/>
    <m/>
    <m/>
    <m/>
    <m/>
    <m/>
  </r>
  <r>
    <x v="11"/>
    <x v="9"/>
    <n v="1427.2370312612613"/>
    <n v="1"/>
    <n v="1427.2370312612613"/>
    <n v="216.05734000000001"/>
    <n v="3246.7892168217959"/>
    <m/>
    <m/>
    <m/>
    <m/>
    <m/>
    <m/>
    <m/>
    <m/>
  </r>
  <r>
    <x v="11"/>
    <x v="8"/>
    <n v="561.37584561403503"/>
    <n v="1"/>
    <n v="561.37584561403503"/>
    <m/>
    <m/>
    <m/>
    <m/>
    <m/>
    <m/>
    <m/>
    <m/>
    <m/>
    <m/>
  </r>
  <r>
    <x v="11"/>
    <x v="3"/>
    <n v="148.49955888888888"/>
    <n v="2"/>
    <n v="296.99911777777777"/>
    <m/>
    <m/>
    <m/>
    <m/>
    <m/>
    <m/>
    <m/>
    <m/>
    <m/>
    <m/>
  </r>
  <r>
    <x v="11"/>
    <x v="6"/>
    <n v="178.04894871794872"/>
    <n v="2"/>
    <n v="356.09789743589744"/>
    <m/>
    <m/>
    <m/>
    <m/>
    <m/>
    <m/>
    <m/>
    <m/>
    <m/>
    <m/>
  </r>
  <r>
    <x v="11"/>
    <x v="5"/>
    <n v="194.51099236641221"/>
    <n v="2"/>
    <n v="389.02198473282442"/>
    <m/>
    <m/>
    <m/>
    <m/>
    <m/>
    <m/>
    <m/>
    <m/>
    <m/>
    <m/>
  </r>
  <r>
    <x v="12"/>
    <x v="9"/>
    <n v="1427.2370312612613"/>
    <n v="1"/>
    <n v="1427.2370312612613"/>
    <n v="216.05734000000001"/>
    <n v="1643.2943712612614"/>
    <m/>
    <m/>
    <m/>
    <m/>
    <m/>
    <m/>
    <m/>
    <m/>
  </r>
  <r>
    <x v="12"/>
    <x v="0"/>
    <n v="578.12713472222231"/>
    <n v="1"/>
    <n v="578.12713472222231"/>
    <m/>
    <n v="578.12713472222231"/>
    <m/>
    <m/>
    <m/>
    <m/>
    <m/>
    <m/>
    <m/>
    <m/>
  </r>
  <r>
    <x v="12"/>
    <x v="3"/>
    <n v="148.49955888888888"/>
    <n v="2"/>
    <n v="296.99911777777777"/>
    <m/>
    <n v="296.99911777777777"/>
    <m/>
    <m/>
    <m/>
    <m/>
    <m/>
    <m/>
    <m/>
    <m/>
  </r>
  <r>
    <x v="12"/>
    <x v="5"/>
    <n v="194.51099236641221"/>
    <n v="2"/>
    <n v="389.02198473282442"/>
    <m/>
    <n v="389.02198473282442"/>
    <m/>
    <m/>
    <m/>
    <m/>
    <m/>
    <m/>
    <m/>
    <m/>
  </r>
  <r>
    <x v="13"/>
    <x v="7"/>
    <n v="1349.7620312612612"/>
    <n v="1"/>
    <n v="1349.7620312612612"/>
    <n v="432.11468000000002"/>
    <n v="1781.8767112612613"/>
    <m/>
    <m/>
    <m/>
    <m/>
    <m/>
    <m/>
    <m/>
    <m/>
  </r>
  <r>
    <x v="13"/>
    <x v="8"/>
    <n v="561.37584561403503"/>
    <n v="1"/>
    <n v="561.37584561403503"/>
    <m/>
    <n v="561.37584561403503"/>
    <m/>
    <m/>
    <m/>
    <m/>
    <m/>
    <m/>
    <m/>
    <m/>
  </r>
  <r>
    <x v="13"/>
    <x v="9"/>
    <n v="1427.2370312612613"/>
    <n v="1"/>
    <n v="1427.2370312612613"/>
    <m/>
    <n v="1427.2370312612613"/>
    <m/>
    <m/>
    <m/>
    <m/>
    <m/>
    <m/>
    <m/>
    <m/>
  </r>
  <r>
    <x v="13"/>
    <x v="0"/>
    <n v="578.12713472222231"/>
    <n v="1"/>
    <n v="578.12713472222231"/>
    <m/>
    <n v="578.12713472222231"/>
    <m/>
    <m/>
    <m/>
    <m/>
    <m/>
    <m/>
    <m/>
    <m/>
  </r>
  <r>
    <x v="13"/>
    <x v="2"/>
    <n v="764.07659305555558"/>
    <n v="1"/>
    <n v="764.07659305555558"/>
    <m/>
    <n v="764.07659305555558"/>
    <m/>
    <m/>
    <m/>
    <m/>
    <m/>
    <m/>
    <m/>
    <m/>
  </r>
  <r>
    <x v="13"/>
    <x v="3"/>
    <n v="148.49955888888888"/>
    <n v="2"/>
    <n v="296.99911777777777"/>
    <m/>
    <n v="296.99911777777777"/>
    <m/>
    <m/>
    <m/>
    <m/>
    <m/>
    <m/>
    <m/>
    <m/>
  </r>
  <r>
    <x v="13"/>
    <x v="6"/>
    <n v="178.04894871794872"/>
    <n v="1"/>
    <n v="178.04894871794872"/>
    <m/>
    <n v="178.04894871794872"/>
    <m/>
    <m/>
    <m/>
    <m/>
    <m/>
    <m/>
    <m/>
    <m/>
  </r>
  <r>
    <x v="13"/>
    <x v="5"/>
    <n v="194.51099236641221"/>
    <n v="1"/>
    <n v="194.51099236641221"/>
    <m/>
    <n v="194.5109923664122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DD153-8B44-44B7-9780-485F2980205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fieldListSortAscending="1">
  <location ref="B3:C20" firstHeaderRow="1" firstDataRow="1" firstDataCol="1"/>
  <pivotFields count="9">
    <pivotField axis="axisRow" showAll="0">
      <items count="18">
        <item x="0"/>
        <item x="1"/>
        <item x="2"/>
        <item x="7"/>
        <item x="14"/>
        <item m="1" x="16"/>
        <item x="15"/>
        <item x="9"/>
        <item x="11"/>
        <item x="8"/>
        <item x="12"/>
        <item x="10"/>
        <item x="3"/>
        <item x="5"/>
        <item x="6"/>
        <item x="4"/>
        <item x="13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numFmtId="164" showAll="0"/>
    <pivotField dataField="1" numFmtId="165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Costo parcial" fld="8" baseField="0" baseItem="0" numFmtId="165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7672E-6718-4E44-AAA0-08AF65216B25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8" firstHeaderRow="0" firstDataRow="1" firstDataCol="1"/>
  <pivotFields count="15">
    <pivotField axis="axisRow" showAll="0">
      <items count="15">
        <item x="0"/>
        <item x="1"/>
        <item x="2"/>
        <item x="3"/>
        <item x="12"/>
        <item x="4"/>
        <item x="5"/>
        <item x="10"/>
        <item x="13"/>
        <item x="11"/>
        <item x="6"/>
        <item x="9"/>
        <item x="7"/>
        <item x="8"/>
        <item t="default"/>
      </items>
    </pivotField>
    <pivotField axis="axisRow" showAll="0">
      <items count="15">
        <item x="0"/>
        <item x="2"/>
        <item x="1"/>
        <item x="3"/>
        <item x="12"/>
        <item x="4"/>
        <item x="8"/>
        <item x="5"/>
        <item x="6"/>
        <item x="11"/>
        <item x="7"/>
        <item m="1" x="13"/>
        <item x="9"/>
        <item x="10"/>
        <item t="default"/>
      </items>
    </pivotField>
    <pivotField numFmtId="164" showAll="0"/>
    <pivotField showAll="0"/>
    <pivotField dataField="1" numFmtId="16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5">
    <i>
      <x/>
    </i>
    <i r="1">
      <x/>
    </i>
    <i>
      <x v="1"/>
    </i>
    <i r="1">
      <x/>
    </i>
    <i r="1">
      <x v="1"/>
    </i>
    <i r="1">
      <x v="2"/>
    </i>
    <i>
      <x v="2"/>
    </i>
    <i r="1">
      <x v="3"/>
    </i>
    <i r="1">
      <x v="5"/>
    </i>
    <i r="1">
      <x v="7"/>
    </i>
    <i r="1">
      <x v="8"/>
    </i>
    <i>
      <x v="3"/>
    </i>
    <i r="1">
      <x v="3"/>
    </i>
    <i r="1">
      <x v="7"/>
    </i>
    <i r="1">
      <x v="8"/>
    </i>
    <i>
      <x v="4"/>
    </i>
    <i r="1">
      <x/>
    </i>
    <i r="1">
      <x v="3"/>
    </i>
    <i r="1">
      <x v="7"/>
    </i>
    <i r="1">
      <x v="12"/>
    </i>
    <i>
      <x v="5"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>
      <x v="6"/>
    </i>
    <i r="1">
      <x/>
    </i>
    <i r="1">
      <x v="1"/>
    </i>
    <i r="1">
      <x v="3"/>
    </i>
    <i r="1">
      <x v="7"/>
    </i>
    <i r="1">
      <x v="8"/>
    </i>
    <i>
      <x v="7"/>
    </i>
    <i r="1">
      <x v="1"/>
    </i>
    <i r="1">
      <x v="7"/>
    </i>
    <i r="1">
      <x v="12"/>
    </i>
    <i>
      <x v="8"/>
    </i>
    <i r="1"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2"/>
    </i>
    <i>
      <x v="9"/>
    </i>
    <i r="1">
      <x v="3"/>
    </i>
    <i r="1">
      <x v="6"/>
    </i>
    <i r="1">
      <x v="7"/>
    </i>
    <i r="1">
      <x v="8"/>
    </i>
    <i r="1">
      <x v="12"/>
    </i>
    <i>
      <x v="10"/>
    </i>
    <i r="1">
      <x v="6"/>
    </i>
    <i r="1">
      <x v="10"/>
    </i>
    <i r="1">
      <x v="12"/>
    </i>
    <i>
      <x v="1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>
      <x v="12"/>
    </i>
    <i r="1">
      <x v="7"/>
    </i>
    <i>
      <x v="13"/>
    </i>
    <i r="1">
      <x v="4"/>
    </i>
    <i r="1">
      <x v="6"/>
    </i>
    <i r="1">
      <x v="9"/>
    </i>
    <i r="1">
      <x v="10"/>
    </i>
    <i r="1">
      <x v="12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sto x producto" fld="4" baseField="0" baseItem="0" numFmtId="164"/>
    <dataField name="Suma de Costo packaging" fld="5" baseField="0" baseItem="0"/>
    <dataField name="Suma de Costo  total" fld="6" baseField="0" baseItem="0"/>
  </dataFields>
  <formats count="2"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ificacion" xr10:uid="{3F61ADC1-5C15-420E-B080-1DAFEC56C4F2}" sourceName="Clasificacion">
  <pivotTables>
    <pivotTable tabId="3" name="TablaDinámica1"/>
  </pivotTables>
  <data>
    <tabular pivotCacheId="1657409799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ificacion" xr10:uid="{27FB3E7C-F218-44FD-BEC0-5210E4F984E8}" cache="SegmentaciónDeDatos_Clasificacion" caption="Clasificacio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G42">
  <autoFilter ref="B2:G42" xr:uid="{00000000-000C-0000-FFFF-FFFF00000000}"/>
  <tableColumns count="6">
    <tableColumn id="1" xr3:uid="{00000000-0010-0000-0000-000001000000}" name="Insumo"/>
    <tableColumn id="2" xr3:uid="{00000000-0010-0000-0000-000002000000}" name="Unidad base"/>
    <tableColumn id="3" xr3:uid="{00000000-0010-0000-0000-000003000000}" name="Cantidad proveniente del proveedor"/>
    <tableColumn id="4" xr3:uid="{00000000-0010-0000-0000-000004000000}" name="Costo proveedor"/>
    <tableColumn id="5" xr3:uid="{00000000-0010-0000-0000-000005000000}" name="Precio unitario"/>
    <tableColumn id="6" xr3:uid="{2F0B5C31-AEA5-4C46-9E17-EB4E0EE26A36}" name="Ultima fecha"/>
  </tableColumns>
  <tableStyleInfo name="1) Planilla maestra insum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07E5C-1C9A-4642-B012-D7B432C5EABA}" name="Tabla2" displayName="Tabla2" ref="B2:P62" totalsRowShown="0" headerRowDxfId="21" dataDxfId="19" headerRowBorderDxfId="20" tableBorderDxfId="18" totalsRowBorderDxfId="17">
  <autoFilter ref="B2:P62" xr:uid="{00907E5C-1C9A-4642-B012-D7B432C5EABA}"/>
  <tableColumns count="15">
    <tableColumn id="1" xr3:uid="{3FD769F8-E7E5-4AA0-9487-68DB7CF5F11C}" name="Descripcion producto" dataDxfId="16"/>
    <tableColumn id="2" xr3:uid="{3316F49D-EE2A-49AF-A0C6-133E59B0820A}" name="Detalle" dataDxfId="15"/>
    <tableColumn id="3" xr3:uid="{47F3AD7E-38AE-4F9F-A223-83ADE7D32488}" name="Costo del producto" dataDxfId="14">
      <calculatedColumnFormula>+IFERROR(VLOOKUP(C3,'3) costo mp'!$B$4:$C$19,2,FALSE),"")</calculatedColumnFormula>
    </tableColumn>
    <tableColumn id="4" xr3:uid="{D58F5ED9-35D6-4E6E-944B-EF3B4E03172E}" name="Cantidad" dataDxfId="13"/>
    <tableColumn id="5" xr3:uid="{1545CD91-7898-4DB5-9844-9B0453F49F4E}" name="Costo x producto" dataDxfId="12">
      <calculatedColumnFormula>+IFERROR(D3*E3,"")</calculatedColumnFormula>
    </tableColumn>
    <tableColumn id="6" xr3:uid="{DE39E083-D903-42D4-8605-05130E16BC47}" name="Costo packaging" dataDxfId="11">
      <calculatedColumnFormula>+IFERROR(VLOOKUP(B3,Packaging,6,FALSE),"")</calculatedColumnFormula>
    </tableColumn>
    <tableColumn id="7" xr3:uid="{3C02CCDB-F6C2-478D-BF4A-ED765A440336}" name="Costo  total" dataDxfId="10">
      <calculatedColumnFormula>+IFERROR(SUM(F3)+G3,"")</calculatedColumnFormula>
    </tableColumn>
    <tableColumn id="8" xr3:uid="{E2276F9A-235A-4A0C-A930-144098D3ABF8}" name="Carta actual" dataDxfId="9"/>
    <tableColumn id="9" xr3:uid="{578E616F-6034-43F2-B842-9D1D2C5A8706}" name="Precio carta febrero 2026" dataDxfId="8"/>
    <tableColumn id="10" xr3:uid="{66BD2BDD-C819-4D20-8FFA-E633CF14F780}" name="Precio carta: Costo variable x2,5" dataDxfId="0"/>
    <tableColumn id="11" xr3:uid="{3838C6F7-7A39-433D-87A1-0E0BFD08E2BB}" name="Precio carta actual + 10%" dataDxfId="7"/>
    <tableColumn id="12" xr3:uid="{C6DF569C-F0D7-43F6-A878-EFE3B73C8056}" name="Precios carta nueva" dataDxfId="6"/>
    <tableColumn id="13" xr3:uid="{FE0BD3C8-5456-4AE6-8704-70B4790EBB5D}" name="Utilidad carta actual" dataDxfId="5"/>
    <tableColumn id="14" xr3:uid="{C800ACCC-58B6-4204-AE3D-82BB91D8F34C}" name="Diferencia" dataDxfId="4"/>
    <tableColumn id="15" xr3:uid="{50FAC4FB-1F7D-41B7-B5D0-9ED60E270173}" name="utilidad en%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C91CEE-86CF-4176-963C-70AC0E4A73C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baseColWidth="10" defaultColWidth="14.44140625" defaultRowHeight="15" customHeight="1" x14ac:dyDescent="0.3"/>
  <cols>
    <col min="1" max="1" width="8.88671875" customWidth="1"/>
    <col min="2" max="2" width="24" customWidth="1"/>
    <col min="3" max="3" width="13.33203125" customWidth="1"/>
    <col min="4" max="4" width="31.88671875" bestFit="1" customWidth="1"/>
    <col min="5" max="5" width="18.33203125" customWidth="1"/>
    <col min="6" max="6" width="17.6640625" customWidth="1"/>
    <col min="7" max="7" width="12.33203125" bestFit="1" customWidth="1"/>
    <col min="8" max="8" width="16.6640625" customWidth="1"/>
    <col min="9" max="9" width="12.6640625" customWidth="1"/>
    <col min="10" max="26" width="8.88671875" customWidth="1"/>
  </cols>
  <sheetData>
    <row r="1" spans="2:7" ht="14.25" customHeight="1" x14ac:dyDescent="0.3">
      <c r="D1" s="1"/>
      <c r="E1" s="2"/>
      <c r="F1" s="3"/>
    </row>
    <row r="2" spans="2:7" ht="27.75" customHeight="1" x14ac:dyDescent="0.3">
      <c r="B2" s="4" t="s">
        <v>0</v>
      </c>
      <c r="C2" s="5" t="s">
        <v>1</v>
      </c>
      <c r="D2" s="6" t="s">
        <v>129</v>
      </c>
      <c r="E2" s="7" t="s">
        <v>2</v>
      </c>
      <c r="F2" s="8" t="s">
        <v>3</v>
      </c>
      <c r="G2" s="8" t="s">
        <v>130</v>
      </c>
    </row>
    <row r="3" spans="2:7" ht="14.25" customHeight="1" x14ac:dyDescent="0.3">
      <c r="B3" s="9" t="s">
        <v>4</v>
      </c>
      <c r="C3" s="10" t="s">
        <v>5</v>
      </c>
      <c r="D3" s="10">
        <v>5</v>
      </c>
      <c r="E3" s="11">
        <v>8000</v>
      </c>
      <c r="F3" s="12">
        <f t="shared" ref="F3:F42" si="0">+E3/D3</f>
        <v>1600</v>
      </c>
      <c r="G3" s="47"/>
    </row>
    <row r="4" spans="2:7" ht="14.25" customHeight="1" x14ac:dyDescent="0.3">
      <c r="B4" s="9" t="s">
        <v>6</v>
      </c>
      <c r="C4" s="10" t="s">
        <v>5</v>
      </c>
      <c r="D4" s="10">
        <v>10</v>
      </c>
      <c r="E4" s="11">
        <v>12635</v>
      </c>
      <c r="F4" s="12">
        <f t="shared" si="0"/>
        <v>1263.5</v>
      </c>
      <c r="G4" s="47">
        <v>46219</v>
      </c>
    </row>
    <row r="5" spans="2:7" ht="14.25" customHeight="1" x14ac:dyDescent="0.3">
      <c r="B5" s="9" t="s">
        <v>7</v>
      </c>
      <c r="C5" s="10" t="s">
        <v>5</v>
      </c>
      <c r="D5" s="10">
        <v>10</v>
      </c>
      <c r="E5" s="11">
        <v>17500</v>
      </c>
      <c r="F5" s="12">
        <f t="shared" si="0"/>
        <v>1750</v>
      </c>
      <c r="G5" s="47">
        <v>46111</v>
      </c>
    </row>
    <row r="6" spans="2:7" ht="14.25" customHeight="1" x14ac:dyDescent="0.3">
      <c r="B6" s="9" t="s">
        <v>8</v>
      </c>
      <c r="C6" s="10" t="s">
        <v>5</v>
      </c>
      <c r="D6" s="10">
        <v>10</v>
      </c>
      <c r="E6" s="11">
        <v>30938</v>
      </c>
      <c r="F6" s="12">
        <f t="shared" si="0"/>
        <v>3093.8</v>
      </c>
      <c r="G6" t="s">
        <v>120</v>
      </c>
    </row>
    <row r="7" spans="2:7" ht="14.25" customHeight="1" x14ac:dyDescent="0.3">
      <c r="B7" s="9" t="s">
        <v>9</v>
      </c>
      <c r="C7" s="10" t="s">
        <v>10</v>
      </c>
      <c r="D7" s="10">
        <v>8</v>
      </c>
      <c r="E7" s="11">
        <v>4171</v>
      </c>
      <c r="F7" s="12">
        <f t="shared" si="0"/>
        <v>521.375</v>
      </c>
      <c r="G7" t="s">
        <v>120</v>
      </c>
    </row>
    <row r="8" spans="2:7" ht="14.25" customHeight="1" x14ac:dyDescent="0.3">
      <c r="B8" s="9" t="s">
        <v>11</v>
      </c>
      <c r="C8" s="10" t="s">
        <v>5</v>
      </c>
      <c r="D8" s="10">
        <v>1</v>
      </c>
      <c r="E8" s="11">
        <v>6000</v>
      </c>
      <c r="F8" s="12">
        <f t="shared" si="0"/>
        <v>6000</v>
      </c>
      <c r="G8" s="47">
        <v>46220</v>
      </c>
    </row>
    <row r="9" spans="2:7" ht="14.25" customHeight="1" x14ac:dyDescent="0.3">
      <c r="B9" s="9" t="s">
        <v>12</v>
      </c>
      <c r="C9" s="10" t="s">
        <v>13</v>
      </c>
      <c r="D9" s="10">
        <v>8</v>
      </c>
      <c r="E9" s="11">
        <v>9000</v>
      </c>
      <c r="F9" s="12">
        <f t="shared" si="0"/>
        <v>1125</v>
      </c>
      <c r="G9" s="47">
        <v>46226</v>
      </c>
    </row>
    <row r="10" spans="2:7" ht="14.25" customHeight="1" x14ac:dyDescent="0.3">
      <c r="B10" s="9" t="s">
        <v>14</v>
      </c>
      <c r="C10" s="10" t="s">
        <v>15</v>
      </c>
      <c r="D10" s="10">
        <v>30</v>
      </c>
      <c r="E10" s="11">
        <v>13317</v>
      </c>
      <c r="F10" s="12">
        <f t="shared" si="0"/>
        <v>443.9</v>
      </c>
      <c r="G10" s="47">
        <v>46199</v>
      </c>
    </row>
    <row r="11" spans="2:7" ht="14.25" customHeight="1" x14ac:dyDescent="0.3">
      <c r="B11" s="9" t="s">
        <v>16</v>
      </c>
      <c r="C11" s="10" t="s">
        <v>13</v>
      </c>
      <c r="D11" s="10">
        <v>1</v>
      </c>
      <c r="E11" s="13">
        <v>720</v>
      </c>
      <c r="F11" s="12">
        <f t="shared" si="0"/>
        <v>720</v>
      </c>
    </row>
    <row r="12" spans="2:7" ht="14.25" customHeight="1" x14ac:dyDescent="0.3">
      <c r="B12" s="9" t="s">
        <v>17</v>
      </c>
      <c r="C12" s="10" t="s">
        <v>5</v>
      </c>
      <c r="D12" s="10">
        <v>1</v>
      </c>
      <c r="E12" s="11">
        <v>23680</v>
      </c>
      <c r="F12" s="12">
        <f t="shared" si="0"/>
        <v>23680</v>
      </c>
      <c r="G12" s="47">
        <v>46207</v>
      </c>
    </row>
    <row r="13" spans="2:7" ht="14.25" customHeight="1" x14ac:dyDescent="0.3">
      <c r="B13" s="9" t="s">
        <v>18</v>
      </c>
      <c r="C13" s="10" t="s">
        <v>5</v>
      </c>
      <c r="D13" s="10">
        <v>25</v>
      </c>
      <c r="E13" s="11">
        <v>599250</v>
      </c>
      <c r="F13" s="12">
        <f t="shared" si="0"/>
        <v>23970</v>
      </c>
      <c r="G13" s="47">
        <v>46219</v>
      </c>
    </row>
    <row r="14" spans="2:7" ht="14.25" customHeight="1" x14ac:dyDescent="0.3">
      <c r="B14" s="9" t="s">
        <v>19</v>
      </c>
      <c r="C14" s="10" t="s">
        <v>13</v>
      </c>
      <c r="D14" s="10">
        <v>2000</v>
      </c>
      <c r="E14" s="13">
        <v>216000</v>
      </c>
      <c r="F14" s="12">
        <f t="shared" si="0"/>
        <v>108</v>
      </c>
      <c r="G14" t="s">
        <v>120</v>
      </c>
    </row>
    <row r="15" spans="2:7" ht="14.25" customHeight="1" x14ac:dyDescent="0.3">
      <c r="B15" s="9" t="s">
        <v>20</v>
      </c>
      <c r="C15" s="10" t="s">
        <v>13</v>
      </c>
      <c r="D15" s="10">
        <v>2000</v>
      </c>
      <c r="E15" s="13">
        <v>349370</v>
      </c>
      <c r="F15" s="12">
        <f t="shared" si="0"/>
        <v>174.685</v>
      </c>
      <c r="G15" t="s">
        <v>120</v>
      </c>
    </row>
    <row r="16" spans="2:7" ht="14.25" customHeight="1" x14ac:dyDescent="0.3">
      <c r="B16" s="9" t="s">
        <v>21</v>
      </c>
      <c r="C16" s="10" t="s">
        <v>13</v>
      </c>
      <c r="D16" s="10">
        <v>1</v>
      </c>
      <c r="E16" s="13">
        <v>1135</v>
      </c>
      <c r="F16" s="12">
        <f t="shared" si="0"/>
        <v>1135</v>
      </c>
      <c r="G16" t="s">
        <v>131</v>
      </c>
    </row>
    <row r="17" spans="2:9" ht="14.25" customHeight="1" x14ac:dyDescent="0.3">
      <c r="B17" s="9" t="s">
        <v>22</v>
      </c>
      <c r="C17" s="10" t="s">
        <v>5</v>
      </c>
      <c r="D17" s="10">
        <v>6</v>
      </c>
      <c r="E17" s="11">
        <v>63147</v>
      </c>
      <c r="F17" s="12">
        <f t="shared" si="0"/>
        <v>10524.5</v>
      </c>
      <c r="G17" t="s">
        <v>120</v>
      </c>
    </row>
    <row r="18" spans="2:9" ht="14.25" customHeight="1" x14ac:dyDescent="0.3">
      <c r="B18" s="9" t="s">
        <v>23</v>
      </c>
      <c r="C18" s="10" t="s">
        <v>5</v>
      </c>
      <c r="D18" s="10">
        <v>6</v>
      </c>
      <c r="E18" s="11">
        <v>63147</v>
      </c>
      <c r="F18" s="12">
        <f t="shared" si="0"/>
        <v>10524.5</v>
      </c>
      <c r="G18" t="s">
        <v>120</v>
      </c>
    </row>
    <row r="19" spans="2:9" ht="14.25" customHeight="1" x14ac:dyDescent="0.3">
      <c r="B19" s="9" t="s">
        <v>24</v>
      </c>
      <c r="C19" s="10" t="s">
        <v>25</v>
      </c>
      <c r="D19" s="10">
        <v>250</v>
      </c>
      <c r="E19" s="13">
        <v>1992</v>
      </c>
      <c r="F19" s="12">
        <f t="shared" si="0"/>
        <v>7.968</v>
      </c>
      <c r="G19" s="47">
        <v>46199</v>
      </c>
    </row>
    <row r="20" spans="2:9" ht="14.25" customHeight="1" x14ac:dyDescent="0.3">
      <c r="B20" s="9" t="s">
        <v>26</v>
      </c>
      <c r="C20" s="10" t="s">
        <v>25</v>
      </c>
      <c r="D20" s="10">
        <v>15</v>
      </c>
      <c r="E20" s="11">
        <v>1100</v>
      </c>
      <c r="F20" s="12">
        <f t="shared" si="0"/>
        <v>73.333333333333329</v>
      </c>
      <c r="G20" t="s">
        <v>120</v>
      </c>
    </row>
    <row r="21" spans="2:9" ht="14.25" customHeight="1" x14ac:dyDescent="0.3">
      <c r="B21" s="9" t="s">
        <v>27</v>
      </c>
      <c r="C21" s="10" t="s">
        <v>13</v>
      </c>
      <c r="D21" s="10">
        <v>1</v>
      </c>
      <c r="E21" s="13">
        <v>300</v>
      </c>
      <c r="F21" s="12">
        <f t="shared" si="0"/>
        <v>300</v>
      </c>
    </row>
    <row r="22" spans="2:9" ht="14.25" customHeight="1" x14ac:dyDescent="0.3">
      <c r="B22" s="9" t="s">
        <v>28</v>
      </c>
      <c r="C22" s="10" t="s">
        <v>5</v>
      </c>
      <c r="D22" s="10">
        <v>4</v>
      </c>
      <c r="E22" s="11">
        <v>38426</v>
      </c>
      <c r="F22" s="12">
        <f t="shared" si="0"/>
        <v>9606.5</v>
      </c>
      <c r="G22" s="47">
        <v>46219</v>
      </c>
    </row>
    <row r="23" spans="2:9" ht="14.25" customHeight="1" x14ac:dyDescent="0.3">
      <c r="B23" s="9" t="s">
        <v>29</v>
      </c>
      <c r="C23" s="10" t="s">
        <v>13</v>
      </c>
      <c r="D23" s="10">
        <v>1</v>
      </c>
      <c r="E23" s="13">
        <v>136</v>
      </c>
      <c r="F23" s="12">
        <f t="shared" si="0"/>
        <v>136</v>
      </c>
    </row>
    <row r="24" spans="2:9" ht="14.25" customHeight="1" x14ac:dyDescent="0.3">
      <c r="B24" s="9" t="s">
        <v>30</v>
      </c>
      <c r="C24" s="10" t="s">
        <v>31</v>
      </c>
      <c r="D24" s="10">
        <v>5</v>
      </c>
      <c r="E24" s="11">
        <v>134209</v>
      </c>
      <c r="F24" s="12">
        <f t="shared" si="0"/>
        <v>26841.8</v>
      </c>
      <c r="G24" s="47">
        <v>46227</v>
      </c>
    </row>
    <row r="25" spans="2:9" ht="14.25" customHeight="1" x14ac:dyDescent="0.3">
      <c r="B25" s="9" t="s">
        <v>32</v>
      </c>
      <c r="C25" s="10" t="s">
        <v>25</v>
      </c>
      <c r="D25" s="10">
        <v>150</v>
      </c>
      <c r="E25" s="13">
        <v>7064</v>
      </c>
      <c r="F25" s="12">
        <f t="shared" si="0"/>
        <v>47.093333333333334</v>
      </c>
      <c r="G25" s="47">
        <v>46191</v>
      </c>
    </row>
    <row r="26" spans="2:9" ht="14.25" customHeight="1" x14ac:dyDescent="0.3">
      <c r="B26" s="9" t="s">
        <v>33</v>
      </c>
      <c r="C26" s="10" t="s">
        <v>5</v>
      </c>
      <c r="D26" s="10">
        <v>1</v>
      </c>
      <c r="E26" s="11">
        <v>9679</v>
      </c>
      <c r="F26" s="12">
        <f t="shared" si="0"/>
        <v>9679</v>
      </c>
      <c r="G26" s="47">
        <v>46192</v>
      </c>
    </row>
    <row r="27" spans="2:9" ht="14.25" customHeight="1" x14ac:dyDescent="0.3">
      <c r="B27" s="9" t="s">
        <v>34</v>
      </c>
      <c r="C27" s="10" t="s">
        <v>5</v>
      </c>
      <c r="D27" s="10">
        <v>25</v>
      </c>
      <c r="E27" s="11">
        <v>17300</v>
      </c>
      <c r="F27" s="12">
        <f t="shared" si="0"/>
        <v>692</v>
      </c>
      <c r="G27" t="s">
        <v>120</v>
      </c>
    </row>
    <row r="28" spans="2:9" ht="14.25" customHeight="1" x14ac:dyDescent="0.3">
      <c r="B28" s="9" t="s">
        <v>35</v>
      </c>
      <c r="C28" s="10" t="s">
        <v>5</v>
      </c>
      <c r="D28" s="10">
        <v>25</v>
      </c>
      <c r="E28" s="11">
        <v>19700</v>
      </c>
      <c r="F28" s="12">
        <f t="shared" si="0"/>
        <v>788</v>
      </c>
      <c r="G28" t="s">
        <v>120</v>
      </c>
    </row>
    <row r="29" spans="2:9" ht="14.25" customHeight="1" x14ac:dyDescent="0.3">
      <c r="B29" s="9" t="s">
        <v>36</v>
      </c>
      <c r="C29" s="10" t="s">
        <v>13</v>
      </c>
      <c r="D29" s="10">
        <v>30</v>
      </c>
      <c r="E29" s="11">
        <v>5300</v>
      </c>
      <c r="F29" s="12">
        <f t="shared" si="0"/>
        <v>176.66666666666666</v>
      </c>
      <c r="G29" s="47">
        <v>46225</v>
      </c>
    </row>
    <row r="30" spans="2:9" ht="14.25" customHeight="1" x14ac:dyDescent="0.3">
      <c r="B30" s="9" t="s">
        <v>37</v>
      </c>
      <c r="C30" s="10" t="s">
        <v>13</v>
      </c>
      <c r="D30" s="10">
        <v>30</v>
      </c>
      <c r="E30" s="11">
        <v>5300</v>
      </c>
      <c r="F30" s="12">
        <f t="shared" si="0"/>
        <v>176.66666666666666</v>
      </c>
      <c r="G30" s="47">
        <v>46225</v>
      </c>
    </row>
    <row r="31" spans="2:9" ht="14.25" customHeight="1" x14ac:dyDescent="0.3">
      <c r="B31" s="9" t="s">
        <v>38</v>
      </c>
      <c r="C31" s="10" t="s">
        <v>5</v>
      </c>
      <c r="D31" s="10">
        <v>1</v>
      </c>
      <c r="E31" s="11">
        <v>8000</v>
      </c>
      <c r="F31" s="12">
        <f t="shared" si="0"/>
        <v>8000</v>
      </c>
    </row>
    <row r="32" spans="2:9" ht="14.25" customHeight="1" x14ac:dyDescent="0.3">
      <c r="B32" s="9" t="s">
        <v>39</v>
      </c>
      <c r="C32" s="10" t="s">
        <v>5</v>
      </c>
      <c r="D32" s="10">
        <v>1</v>
      </c>
      <c r="E32" s="11">
        <v>8000</v>
      </c>
      <c r="F32" s="12">
        <f t="shared" si="0"/>
        <v>8000</v>
      </c>
      <c r="I32" s="14"/>
    </row>
    <row r="33" spans="2:9" ht="14.25" customHeight="1" x14ac:dyDescent="0.3">
      <c r="B33" s="9" t="s">
        <v>40</v>
      </c>
      <c r="C33" s="10" t="s">
        <v>5</v>
      </c>
      <c r="D33" s="10">
        <v>10</v>
      </c>
      <c r="E33" s="11">
        <v>110066</v>
      </c>
      <c r="F33" s="12">
        <f t="shared" si="0"/>
        <v>11006.6</v>
      </c>
      <c r="G33" s="47">
        <v>46219</v>
      </c>
      <c r="I33" s="14"/>
    </row>
    <row r="34" spans="2:9" ht="14.25" customHeight="1" x14ac:dyDescent="0.3">
      <c r="B34" s="9" t="s">
        <v>41</v>
      </c>
      <c r="C34" s="10" t="s">
        <v>5</v>
      </c>
      <c r="D34" s="10">
        <v>6</v>
      </c>
      <c r="E34" s="11">
        <v>183952</v>
      </c>
      <c r="F34" s="12">
        <f t="shared" si="0"/>
        <v>30658.666666666668</v>
      </c>
    </row>
    <row r="35" spans="2:9" ht="14.25" customHeight="1" x14ac:dyDescent="0.3">
      <c r="B35" s="9" t="s">
        <v>42</v>
      </c>
      <c r="C35" s="10" t="s">
        <v>5</v>
      </c>
      <c r="D35" s="10">
        <v>5</v>
      </c>
      <c r="E35" s="13">
        <v>50219</v>
      </c>
      <c r="F35" s="12">
        <f t="shared" si="0"/>
        <v>10043.799999999999</v>
      </c>
      <c r="G35" s="47">
        <v>46219</v>
      </c>
    </row>
    <row r="36" spans="2:9" ht="14.25" customHeight="1" x14ac:dyDescent="0.3">
      <c r="B36" s="9" t="s">
        <v>43</v>
      </c>
      <c r="C36" s="10" t="s">
        <v>5</v>
      </c>
      <c r="D36" s="10">
        <v>10</v>
      </c>
      <c r="E36" s="11">
        <v>114904</v>
      </c>
      <c r="F36" s="12">
        <f t="shared" si="0"/>
        <v>11490.4</v>
      </c>
      <c r="G36" s="47">
        <v>46223</v>
      </c>
    </row>
    <row r="37" spans="2:9" ht="14.25" customHeight="1" x14ac:dyDescent="0.3">
      <c r="B37" s="9" t="s">
        <v>44</v>
      </c>
      <c r="C37" s="10" t="s">
        <v>5</v>
      </c>
      <c r="D37" s="10">
        <v>3</v>
      </c>
      <c r="E37" s="11">
        <v>16366</v>
      </c>
      <c r="F37" s="12">
        <f t="shared" si="0"/>
        <v>5455.333333333333</v>
      </c>
      <c r="G37" s="47">
        <v>46219</v>
      </c>
    </row>
    <row r="38" spans="2:9" ht="14.25" customHeight="1" x14ac:dyDescent="0.3">
      <c r="B38" s="9" t="s">
        <v>45</v>
      </c>
      <c r="C38" s="10" t="s">
        <v>5</v>
      </c>
      <c r="D38" s="10">
        <v>4</v>
      </c>
      <c r="E38" s="11">
        <v>34900</v>
      </c>
      <c r="F38" s="12">
        <f t="shared" si="0"/>
        <v>8725</v>
      </c>
      <c r="G38" t="s">
        <v>120</v>
      </c>
    </row>
    <row r="39" spans="2:9" ht="14.25" customHeight="1" x14ac:dyDescent="0.3">
      <c r="B39" s="9" t="s">
        <v>46</v>
      </c>
      <c r="C39" s="10" t="s">
        <v>5</v>
      </c>
      <c r="D39" s="10">
        <v>1</v>
      </c>
      <c r="E39" s="11">
        <v>13526</v>
      </c>
      <c r="F39" s="12">
        <f t="shared" si="0"/>
        <v>13526</v>
      </c>
      <c r="G39" s="47">
        <v>46207</v>
      </c>
    </row>
    <row r="40" spans="2:9" ht="14.25" customHeight="1" x14ac:dyDescent="0.3">
      <c r="B40" s="9" t="s">
        <v>47</v>
      </c>
      <c r="C40" s="10" t="s">
        <v>13</v>
      </c>
      <c r="D40" s="10">
        <v>3600</v>
      </c>
      <c r="E40" s="11">
        <v>62073</v>
      </c>
      <c r="F40" s="12">
        <f t="shared" si="0"/>
        <v>17.2425</v>
      </c>
      <c r="G40" t="s">
        <v>120</v>
      </c>
    </row>
    <row r="41" spans="2:9" ht="14.25" customHeight="1" x14ac:dyDescent="0.3">
      <c r="B41" s="9" t="s">
        <v>48</v>
      </c>
      <c r="C41" s="10" t="s">
        <v>31</v>
      </c>
      <c r="D41" s="10">
        <v>5</v>
      </c>
      <c r="E41" s="11">
        <v>5000</v>
      </c>
      <c r="F41" s="12">
        <f t="shared" si="0"/>
        <v>1000</v>
      </c>
      <c r="G41" t="s">
        <v>120</v>
      </c>
    </row>
    <row r="42" spans="2:9" ht="14.25" customHeight="1" x14ac:dyDescent="0.3">
      <c r="B42" s="9" t="s">
        <v>128</v>
      </c>
      <c r="C42" s="10" t="s">
        <v>31</v>
      </c>
      <c r="D42" s="10">
        <v>0.7</v>
      </c>
      <c r="E42" s="11">
        <v>5906</v>
      </c>
      <c r="F42" s="12">
        <f t="shared" si="0"/>
        <v>8437.1428571428569</v>
      </c>
      <c r="G42" s="47">
        <v>46231</v>
      </c>
    </row>
    <row r="43" spans="2:9" ht="14.25" customHeight="1" x14ac:dyDescent="0.3">
      <c r="B43" s="9"/>
      <c r="C43" s="10"/>
      <c r="D43" s="10"/>
      <c r="E43" s="11"/>
      <c r="F43" s="12"/>
    </row>
    <row r="44" spans="2:9" ht="14.25" customHeight="1" x14ac:dyDescent="0.3">
      <c r="B44" s="9"/>
      <c r="C44" s="10"/>
      <c r="D44" s="10"/>
      <c r="E44" s="11"/>
      <c r="F44" s="12"/>
    </row>
    <row r="45" spans="2:9" ht="14.25" customHeight="1" x14ac:dyDescent="0.3">
      <c r="B45" s="9"/>
      <c r="C45" s="10"/>
      <c r="D45" s="10"/>
      <c r="E45" s="13"/>
      <c r="F45" s="12"/>
    </row>
    <row r="46" spans="2:9" ht="14.25" customHeight="1" x14ac:dyDescent="0.3">
      <c r="B46" s="9"/>
      <c r="C46" s="10"/>
      <c r="D46" s="10"/>
      <c r="E46" s="11"/>
      <c r="F46" s="12"/>
    </row>
    <row r="47" spans="2:9" ht="14.25" customHeight="1" x14ac:dyDescent="0.3">
      <c r="B47" s="9"/>
      <c r="C47" s="10"/>
      <c r="D47" s="10"/>
      <c r="E47" s="11"/>
      <c r="F47" s="12"/>
    </row>
    <row r="48" spans="2:9" ht="14.25" customHeight="1" x14ac:dyDescent="0.3">
      <c r="B48" s="9"/>
      <c r="C48" s="10"/>
      <c r="D48" s="10"/>
      <c r="E48" s="11"/>
      <c r="F48" s="12"/>
    </row>
    <row r="49" spans="2:6" ht="14.25" customHeight="1" x14ac:dyDescent="0.3">
      <c r="B49" s="9"/>
      <c r="C49" s="10"/>
      <c r="D49" s="10"/>
      <c r="E49" s="11"/>
      <c r="F49" s="12"/>
    </row>
    <row r="50" spans="2:6" ht="14.25" customHeight="1" x14ac:dyDescent="0.3">
      <c r="B50" s="9"/>
      <c r="C50" s="10"/>
      <c r="D50" s="10"/>
      <c r="E50" s="11"/>
      <c r="F50" s="12"/>
    </row>
    <row r="51" spans="2:6" ht="14.25" customHeight="1" x14ac:dyDescent="0.3">
      <c r="B51" s="9"/>
      <c r="C51" s="10"/>
      <c r="D51" s="10"/>
      <c r="E51" s="11"/>
      <c r="F51" s="12"/>
    </row>
    <row r="52" spans="2:6" ht="14.25" customHeight="1" x14ac:dyDescent="0.3">
      <c r="B52" s="9"/>
      <c r="C52" s="10"/>
      <c r="D52" s="10"/>
      <c r="E52" s="11"/>
      <c r="F52" s="12"/>
    </row>
    <row r="53" spans="2:6" ht="14.25" customHeight="1" x14ac:dyDescent="0.3">
      <c r="D53" s="1"/>
      <c r="E53" s="2"/>
      <c r="F53" s="3"/>
    </row>
    <row r="54" spans="2:6" ht="14.25" customHeight="1" x14ac:dyDescent="0.3">
      <c r="D54" s="1"/>
      <c r="E54" s="2"/>
      <c r="F54" s="3"/>
    </row>
    <row r="55" spans="2:6" ht="14.25" customHeight="1" x14ac:dyDescent="0.3">
      <c r="D55" s="1"/>
      <c r="E55" s="2"/>
      <c r="F55" s="3"/>
    </row>
    <row r="56" spans="2:6" ht="14.25" customHeight="1" x14ac:dyDescent="0.3">
      <c r="D56" s="1"/>
      <c r="E56" s="2"/>
      <c r="F56" s="3"/>
    </row>
    <row r="57" spans="2:6" ht="14.25" customHeight="1" x14ac:dyDescent="0.3">
      <c r="D57" s="1"/>
      <c r="E57" s="2"/>
      <c r="F57" s="3"/>
    </row>
    <row r="58" spans="2:6" ht="14.25" customHeight="1" x14ac:dyDescent="0.3">
      <c r="D58" s="1"/>
      <c r="E58" s="2"/>
      <c r="F58" s="3"/>
    </row>
    <row r="59" spans="2:6" ht="14.25" customHeight="1" x14ac:dyDescent="0.3">
      <c r="D59" s="1"/>
      <c r="E59" s="2"/>
      <c r="F59" s="3"/>
    </row>
    <row r="60" spans="2:6" ht="14.25" customHeight="1" x14ac:dyDescent="0.3">
      <c r="D60" s="1"/>
      <c r="E60" s="2"/>
      <c r="F60" s="3"/>
    </row>
    <row r="61" spans="2:6" ht="14.25" customHeight="1" x14ac:dyDescent="0.3">
      <c r="D61" s="1"/>
      <c r="E61" s="2"/>
      <c r="F61" s="3"/>
    </row>
    <row r="62" spans="2:6" ht="14.25" customHeight="1" x14ac:dyDescent="0.3">
      <c r="D62" s="1"/>
      <c r="E62" s="2"/>
      <c r="F62" s="3"/>
    </row>
    <row r="63" spans="2:6" ht="14.25" customHeight="1" x14ac:dyDescent="0.3">
      <c r="D63" s="1"/>
      <c r="E63" s="2"/>
      <c r="F63" s="3"/>
    </row>
    <row r="64" spans="2:6" ht="14.25" customHeight="1" x14ac:dyDescent="0.3">
      <c r="D64" s="1"/>
      <c r="E64" s="2"/>
      <c r="F64" s="3"/>
    </row>
    <row r="65" spans="4:6" ht="14.25" customHeight="1" x14ac:dyDescent="0.3">
      <c r="D65" s="1"/>
      <c r="E65" s="2"/>
      <c r="F65" s="3"/>
    </row>
    <row r="66" spans="4:6" ht="14.25" customHeight="1" x14ac:dyDescent="0.3">
      <c r="D66" s="1"/>
      <c r="E66" s="2"/>
      <c r="F66" s="3"/>
    </row>
    <row r="67" spans="4:6" ht="14.25" customHeight="1" x14ac:dyDescent="0.3">
      <c r="D67" s="1"/>
      <c r="E67" s="2"/>
      <c r="F67" s="3"/>
    </row>
    <row r="68" spans="4:6" ht="14.25" customHeight="1" x14ac:dyDescent="0.3">
      <c r="D68" s="1"/>
      <c r="E68" s="2"/>
      <c r="F68" s="3"/>
    </row>
    <row r="69" spans="4:6" ht="14.25" customHeight="1" x14ac:dyDescent="0.3">
      <c r="D69" s="1"/>
      <c r="E69" s="2"/>
      <c r="F69" s="3"/>
    </row>
    <row r="70" spans="4:6" ht="14.25" customHeight="1" x14ac:dyDescent="0.3">
      <c r="D70" s="1"/>
      <c r="E70" s="2"/>
      <c r="F70" s="3"/>
    </row>
    <row r="71" spans="4:6" ht="14.25" customHeight="1" x14ac:dyDescent="0.3">
      <c r="D71" s="1"/>
      <c r="E71" s="2"/>
      <c r="F71" s="3"/>
    </row>
    <row r="72" spans="4:6" ht="14.25" customHeight="1" x14ac:dyDescent="0.3">
      <c r="D72" s="1"/>
      <c r="E72" s="2"/>
      <c r="F72" s="3"/>
    </row>
    <row r="73" spans="4:6" ht="14.25" customHeight="1" x14ac:dyDescent="0.3">
      <c r="D73" s="1"/>
      <c r="E73" s="2"/>
      <c r="F73" s="3"/>
    </row>
    <row r="74" spans="4:6" ht="14.25" customHeight="1" x14ac:dyDescent="0.3">
      <c r="D74" s="1"/>
      <c r="E74" s="2"/>
      <c r="F74" s="3"/>
    </row>
    <row r="75" spans="4:6" ht="14.25" customHeight="1" x14ac:dyDescent="0.3">
      <c r="D75" s="1"/>
      <c r="E75" s="2"/>
      <c r="F75" s="3"/>
    </row>
    <row r="76" spans="4:6" ht="14.25" customHeight="1" x14ac:dyDescent="0.3">
      <c r="D76" s="1"/>
      <c r="E76" s="2"/>
      <c r="F76" s="3"/>
    </row>
    <row r="77" spans="4:6" ht="14.25" customHeight="1" x14ac:dyDescent="0.3">
      <c r="D77" s="1"/>
      <c r="E77" s="2"/>
      <c r="F77" s="3"/>
    </row>
    <row r="78" spans="4:6" ht="14.25" customHeight="1" x14ac:dyDescent="0.3">
      <c r="D78" s="1"/>
      <c r="E78" s="2"/>
      <c r="F78" s="3"/>
    </row>
    <row r="79" spans="4:6" ht="14.25" customHeight="1" x14ac:dyDescent="0.3">
      <c r="D79" s="1"/>
      <c r="E79" s="2"/>
      <c r="F79" s="3"/>
    </row>
    <row r="80" spans="4:6" ht="14.25" customHeight="1" x14ac:dyDescent="0.3">
      <c r="D80" s="1"/>
      <c r="E80" s="2"/>
      <c r="F80" s="3"/>
    </row>
    <row r="81" spans="4:6" ht="14.25" customHeight="1" x14ac:dyDescent="0.3">
      <c r="D81" s="1"/>
      <c r="E81" s="2"/>
      <c r="F81" s="3"/>
    </row>
    <row r="82" spans="4:6" ht="14.25" customHeight="1" x14ac:dyDescent="0.3">
      <c r="D82" s="1"/>
      <c r="E82" s="2"/>
      <c r="F82" s="3"/>
    </row>
    <row r="83" spans="4:6" ht="14.25" customHeight="1" x14ac:dyDescent="0.3">
      <c r="D83" s="1"/>
      <c r="E83" s="2"/>
      <c r="F83" s="3"/>
    </row>
    <row r="84" spans="4:6" ht="14.25" customHeight="1" x14ac:dyDescent="0.3">
      <c r="D84" s="1"/>
      <c r="E84" s="2"/>
      <c r="F84" s="3"/>
    </row>
    <row r="85" spans="4:6" ht="14.25" customHeight="1" x14ac:dyDescent="0.3">
      <c r="D85" s="1"/>
      <c r="E85" s="2"/>
      <c r="F85" s="3"/>
    </row>
    <row r="86" spans="4:6" ht="14.25" customHeight="1" x14ac:dyDescent="0.3">
      <c r="D86" s="1"/>
      <c r="E86" s="2"/>
      <c r="F86" s="3"/>
    </row>
    <row r="87" spans="4:6" ht="14.25" customHeight="1" x14ac:dyDescent="0.3">
      <c r="D87" s="1"/>
      <c r="E87" s="2"/>
      <c r="F87" s="3"/>
    </row>
    <row r="88" spans="4:6" ht="14.25" customHeight="1" x14ac:dyDescent="0.3">
      <c r="D88" s="1"/>
      <c r="E88" s="2"/>
      <c r="F88" s="3"/>
    </row>
    <row r="89" spans="4:6" ht="14.25" customHeight="1" x14ac:dyDescent="0.3">
      <c r="D89" s="1"/>
      <c r="E89" s="2"/>
      <c r="F89" s="3"/>
    </row>
    <row r="90" spans="4:6" ht="14.25" customHeight="1" x14ac:dyDescent="0.3">
      <c r="D90" s="1"/>
      <c r="E90" s="2"/>
      <c r="F90" s="3"/>
    </row>
    <row r="91" spans="4:6" ht="14.25" customHeight="1" x14ac:dyDescent="0.3">
      <c r="D91" s="1"/>
      <c r="E91" s="2"/>
      <c r="F91" s="3"/>
    </row>
    <row r="92" spans="4:6" ht="14.25" customHeight="1" x14ac:dyDescent="0.3">
      <c r="D92" s="1"/>
      <c r="E92" s="2"/>
      <c r="F92" s="3"/>
    </row>
    <row r="93" spans="4:6" ht="14.25" customHeight="1" x14ac:dyDescent="0.3">
      <c r="D93" s="1"/>
      <c r="E93" s="2"/>
      <c r="F93" s="3"/>
    </row>
    <row r="94" spans="4:6" ht="14.25" customHeight="1" x14ac:dyDescent="0.3">
      <c r="D94" s="1"/>
      <c r="E94" s="2"/>
      <c r="F94" s="3"/>
    </row>
    <row r="95" spans="4:6" ht="14.25" customHeight="1" x14ac:dyDescent="0.3">
      <c r="D95" s="1"/>
      <c r="E95" s="2"/>
      <c r="F95" s="3"/>
    </row>
    <row r="96" spans="4:6" ht="14.25" customHeight="1" x14ac:dyDescent="0.3">
      <c r="D96" s="1"/>
      <c r="E96" s="2"/>
      <c r="F96" s="3"/>
    </row>
    <row r="97" spans="4:6" ht="14.25" customHeight="1" x14ac:dyDescent="0.3">
      <c r="D97" s="1"/>
      <c r="E97" s="2"/>
      <c r="F97" s="3"/>
    </row>
    <row r="98" spans="4:6" ht="14.25" customHeight="1" x14ac:dyDescent="0.3">
      <c r="D98" s="1"/>
      <c r="E98" s="2"/>
      <c r="F98" s="3"/>
    </row>
    <row r="99" spans="4:6" ht="14.25" customHeight="1" x14ac:dyDescent="0.3">
      <c r="D99" s="1"/>
      <c r="E99" s="2"/>
      <c r="F99" s="3"/>
    </row>
    <row r="100" spans="4:6" ht="14.25" customHeight="1" x14ac:dyDescent="0.3">
      <c r="D100" s="1"/>
      <c r="E100" s="2"/>
      <c r="F100" s="3"/>
    </row>
    <row r="101" spans="4:6" ht="14.25" customHeight="1" x14ac:dyDescent="0.3">
      <c r="D101" s="1"/>
      <c r="E101" s="2"/>
      <c r="F101" s="3"/>
    </row>
    <row r="102" spans="4:6" ht="14.25" customHeight="1" x14ac:dyDescent="0.3">
      <c r="D102" s="1"/>
      <c r="E102" s="2"/>
      <c r="F102" s="3"/>
    </row>
    <row r="103" spans="4:6" ht="14.25" customHeight="1" x14ac:dyDescent="0.3">
      <c r="D103" s="1"/>
      <c r="E103" s="2"/>
      <c r="F103" s="3"/>
    </row>
    <row r="104" spans="4:6" ht="14.25" customHeight="1" x14ac:dyDescent="0.3">
      <c r="D104" s="1"/>
      <c r="E104" s="2"/>
      <c r="F104" s="3"/>
    </row>
    <row r="105" spans="4:6" ht="14.25" customHeight="1" x14ac:dyDescent="0.3">
      <c r="D105" s="1"/>
      <c r="E105" s="2"/>
      <c r="F105" s="3"/>
    </row>
    <row r="106" spans="4:6" ht="14.25" customHeight="1" x14ac:dyDescent="0.3">
      <c r="D106" s="1"/>
      <c r="E106" s="2"/>
      <c r="F106" s="3"/>
    </row>
    <row r="107" spans="4:6" ht="14.25" customHeight="1" x14ac:dyDescent="0.3">
      <c r="D107" s="1"/>
      <c r="E107" s="2"/>
      <c r="F107" s="3"/>
    </row>
    <row r="108" spans="4:6" ht="14.25" customHeight="1" x14ac:dyDescent="0.3">
      <c r="D108" s="1"/>
      <c r="E108" s="2"/>
      <c r="F108" s="3"/>
    </row>
    <row r="109" spans="4:6" ht="14.25" customHeight="1" x14ac:dyDescent="0.3">
      <c r="D109" s="1"/>
      <c r="E109" s="2"/>
      <c r="F109" s="3"/>
    </row>
    <row r="110" spans="4:6" ht="14.25" customHeight="1" x14ac:dyDescent="0.3">
      <c r="D110" s="1"/>
      <c r="E110" s="2"/>
      <c r="F110" s="3"/>
    </row>
    <row r="111" spans="4:6" ht="14.25" customHeight="1" x14ac:dyDescent="0.3">
      <c r="D111" s="1"/>
      <c r="E111" s="2"/>
      <c r="F111" s="3"/>
    </row>
    <row r="112" spans="4:6" ht="14.25" customHeight="1" x14ac:dyDescent="0.3">
      <c r="D112" s="1"/>
      <c r="E112" s="2"/>
      <c r="F112" s="3"/>
    </row>
    <row r="113" spans="4:6" ht="14.25" customHeight="1" x14ac:dyDescent="0.3">
      <c r="D113" s="1"/>
      <c r="E113" s="2"/>
      <c r="F113" s="3"/>
    </row>
    <row r="114" spans="4:6" ht="14.25" customHeight="1" x14ac:dyDescent="0.3">
      <c r="D114" s="1"/>
      <c r="E114" s="2"/>
      <c r="F114" s="3"/>
    </row>
    <row r="115" spans="4:6" ht="14.25" customHeight="1" x14ac:dyDescent="0.3">
      <c r="D115" s="1"/>
      <c r="E115" s="2"/>
      <c r="F115" s="3"/>
    </row>
    <row r="116" spans="4:6" ht="14.25" customHeight="1" x14ac:dyDescent="0.3">
      <c r="D116" s="1"/>
      <c r="E116" s="2"/>
      <c r="F116" s="3"/>
    </row>
    <row r="117" spans="4:6" ht="14.25" customHeight="1" x14ac:dyDescent="0.3">
      <c r="D117" s="1"/>
      <c r="E117" s="2"/>
      <c r="F117" s="3"/>
    </row>
    <row r="118" spans="4:6" ht="14.25" customHeight="1" x14ac:dyDescent="0.3">
      <c r="D118" s="1"/>
      <c r="E118" s="2"/>
      <c r="F118" s="3"/>
    </row>
    <row r="119" spans="4:6" ht="14.25" customHeight="1" x14ac:dyDescent="0.3">
      <c r="D119" s="1"/>
      <c r="E119" s="2"/>
      <c r="F119" s="3"/>
    </row>
    <row r="120" spans="4:6" ht="14.25" customHeight="1" x14ac:dyDescent="0.3">
      <c r="D120" s="1"/>
      <c r="E120" s="2"/>
      <c r="F120" s="3"/>
    </row>
    <row r="121" spans="4:6" ht="14.25" customHeight="1" x14ac:dyDescent="0.3">
      <c r="D121" s="1"/>
      <c r="E121" s="2"/>
      <c r="F121" s="3"/>
    </row>
    <row r="122" spans="4:6" ht="14.25" customHeight="1" x14ac:dyDescent="0.3">
      <c r="D122" s="1"/>
      <c r="E122" s="2"/>
      <c r="F122" s="3"/>
    </row>
    <row r="123" spans="4:6" ht="14.25" customHeight="1" x14ac:dyDescent="0.3">
      <c r="D123" s="1"/>
      <c r="E123" s="2"/>
      <c r="F123" s="3"/>
    </row>
    <row r="124" spans="4:6" ht="14.25" customHeight="1" x14ac:dyDescent="0.3">
      <c r="D124" s="1"/>
      <c r="E124" s="2"/>
      <c r="F124" s="3"/>
    </row>
    <row r="125" spans="4:6" ht="14.25" customHeight="1" x14ac:dyDescent="0.3">
      <c r="D125" s="1"/>
      <c r="E125" s="2"/>
      <c r="F125" s="3"/>
    </row>
    <row r="126" spans="4:6" ht="14.25" customHeight="1" x14ac:dyDescent="0.3">
      <c r="D126" s="1"/>
      <c r="E126" s="2"/>
      <c r="F126" s="3"/>
    </row>
    <row r="127" spans="4:6" ht="14.25" customHeight="1" x14ac:dyDescent="0.3">
      <c r="D127" s="1"/>
      <c r="E127" s="2"/>
      <c r="F127" s="3"/>
    </row>
    <row r="128" spans="4:6" ht="14.25" customHeight="1" x14ac:dyDescent="0.3">
      <c r="D128" s="1"/>
      <c r="E128" s="2"/>
      <c r="F128" s="3"/>
    </row>
    <row r="129" spans="4:6" ht="14.25" customHeight="1" x14ac:dyDescent="0.3">
      <c r="D129" s="1"/>
      <c r="E129" s="2"/>
      <c r="F129" s="3"/>
    </row>
    <row r="130" spans="4:6" ht="14.25" customHeight="1" x14ac:dyDescent="0.3">
      <c r="D130" s="1"/>
      <c r="E130" s="2"/>
      <c r="F130" s="3"/>
    </row>
    <row r="131" spans="4:6" ht="14.25" customHeight="1" x14ac:dyDescent="0.3">
      <c r="D131" s="1"/>
      <c r="E131" s="2"/>
      <c r="F131" s="3"/>
    </row>
    <row r="132" spans="4:6" ht="14.25" customHeight="1" x14ac:dyDescent="0.3">
      <c r="D132" s="1"/>
      <c r="E132" s="2"/>
      <c r="F132" s="3"/>
    </row>
    <row r="133" spans="4:6" ht="14.25" customHeight="1" x14ac:dyDescent="0.3">
      <c r="D133" s="1"/>
      <c r="E133" s="2"/>
      <c r="F133" s="3"/>
    </row>
    <row r="134" spans="4:6" ht="14.25" customHeight="1" x14ac:dyDescent="0.3">
      <c r="D134" s="1"/>
      <c r="E134" s="2"/>
      <c r="F134" s="3"/>
    </row>
    <row r="135" spans="4:6" ht="14.25" customHeight="1" x14ac:dyDescent="0.3">
      <c r="D135" s="1"/>
      <c r="E135" s="2"/>
      <c r="F135" s="3"/>
    </row>
    <row r="136" spans="4:6" ht="14.25" customHeight="1" x14ac:dyDescent="0.3">
      <c r="D136" s="1"/>
      <c r="E136" s="2"/>
      <c r="F136" s="3"/>
    </row>
    <row r="137" spans="4:6" ht="14.25" customHeight="1" x14ac:dyDescent="0.3">
      <c r="D137" s="1"/>
      <c r="E137" s="2"/>
      <c r="F137" s="3"/>
    </row>
    <row r="138" spans="4:6" ht="14.25" customHeight="1" x14ac:dyDescent="0.3">
      <c r="D138" s="1"/>
      <c r="E138" s="2"/>
      <c r="F138" s="3"/>
    </row>
    <row r="139" spans="4:6" ht="14.25" customHeight="1" x14ac:dyDescent="0.3">
      <c r="D139" s="1"/>
      <c r="E139" s="2"/>
      <c r="F139" s="3"/>
    </row>
    <row r="140" spans="4:6" ht="14.25" customHeight="1" x14ac:dyDescent="0.3">
      <c r="D140" s="1"/>
      <c r="E140" s="2"/>
      <c r="F140" s="3"/>
    </row>
    <row r="141" spans="4:6" ht="14.25" customHeight="1" x14ac:dyDescent="0.3">
      <c r="D141" s="1"/>
      <c r="E141" s="2"/>
      <c r="F141" s="3"/>
    </row>
    <row r="142" spans="4:6" ht="14.25" customHeight="1" x14ac:dyDescent="0.3">
      <c r="D142" s="1"/>
      <c r="E142" s="2"/>
      <c r="F142" s="3"/>
    </row>
    <row r="143" spans="4:6" ht="14.25" customHeight="1" x14ac:dyDescent="0.3">
      <c r="D143" s="1"/>
      <c r="E143" s="2"/>
      <c r="F143" s="3"/>
    </row>
    <row r="144" spans="4:6" ht="14.25" customHeight="1" x14ac:dyDescent="0.3">
      <c r="D144" s="1"/>
      <c r="E144" s="2"/>
      <c r="F144" s="3"/>
    </row>
    <row r="145" spans="4:6" ht="14.25" customHeight="1" x14ac:dyDescent="0.3">
      <c r="D145" s="1"/>
      <c r="E145" s="2"/>
      <c r="F145" s="3"/>
    </row>
    <row r="146" spans="4:6" ht="14.25" customHeight="1" x14ac:dyDescent="0.3">
      <c r="D146" s="1"/>
      <c r="E146" s="2"/>
      <c r="F146" s="3"/>
    </row>
    <row r="147" spans="4:6" ht="14.25" customHeight="1" x14ac:dyDescent="0.3">
      <c r="D147" s="1"/>
      <c r="E147" s="2"/>
      <c r="F147" s="3"/>
    </row>
    <row r="148" spans="4:6" ht="14.25" customHeight="1" x14ac:dyDescent="0.3">
      <c r="D148" s="1"/>
      <c r="E148" s="2"/>
      <c r="F148" s="3"/>
    </row>
    <row r="149" spans="4:6" ht="14.25" customHeight="1" x14ac:dyDescent="0.3">
      <c r="D149" s="1"/>
      <c r="E149" s="2"/>
      <c r="F149" s="3"/>
    </row>
    <row r="150" spans="4:6" ht="14.25" customHeight="1" x14ac:dyDescent="0.3">
      <c r="D150" s="1"/>
      <c r="E150" s="2"/>
      <c r="F150" s="3"/>
    </row>
    <row r="151" spans="4:6" ht="14.25" customHeight="1" x14ac:dyDescent="0.3">
      <c r="D151" s="1"/>
      <c r="E151" s="2"/>
      <c r="F151" s="3"/>
    </row>
    <row r="152" spans="4:6" ht="14.25" customHeight="1" x14ac:dyDescent="0.3">
      <c r="D152" s="1"/>
      <c r="E152" s="2"/>
      <c r="F152" s="3"/>
    </row>
    <row r="153" spans="4:6" ht="14.25" customHeight="1" x14ac:dyDescent="0.3">
      <c r="D153" s="1"/>
      <c r="E153" s="2"/>
      <c r="F153" s="3"/>
    </row>
    <row r="154" spans="4:6" ht="14.25" customHeight="1" x14ac:dyDescent="0.3">
      <c r="D154" s="1"/>
      <c r="E154" s="2"/>
      <c r="F154" s="3"/>
    </row>
    <row r="155" spans="4:6" ht="14.25" customHeight="1" x14ac:dyDescent="0.3">
      <c r="D155" s="1"/>
      <c r="E155" s="2"/>
      <c r="F155" s="3"/>
    </row>
    <row r="156" spans="4:6" ht="14.25" customHeight="1" x14ac:dyDescent="0.3">
      <c r="D156" s="1"/>
      <c r="E156" s="2"/>
      <c r="F156" s="3"/>
    </row>
    <row r="157" spans="4:6" ht="14.25" customHeight="1" x14ac:dyDescent="0.3">
      <c r="D157" s="1"/>
      <c r="E157" s="2"/>
      <c r="F157" s="3"/>
    </row>
    <row r="158" spans="4:6" ht="14.25" customHeight="1" x14ac:dyDescent="0.3">
      <c r="D158" s="1"/>
      <c r="E158" s="2"/>
      <c r="F158" s="3"/>
    </row>
    <row r="159" spans="4:6" ht="14.25" customHeight="1" x14ac:dyDescent="0.3">
      <c r="D159" s="1"/>
      <c r="E159" s="2"/>
      <c r="F159" s="3"/>
    </row>
    <row r="160" spans="4:6" ht="14.25" customHeight="1" x14ac:dyDescent="0.3">
      <c r="D160" s="1"/>
      <c r="E160" s="2"/>
      <c r="F160" s="3"/>
    </row>
    <row r="161" spans="4:6" ht="14.25" customHeight="1" x14ac:dyDescent="0.3">
      <c r="D161" s="1"/>
      <c r="E161" s="2"/>
      <c r="F161" s="3"/>
    </row>
    <row r="162" spans="4:6" ht="14.25" customHeight="1" x14ac:dyDescent="0.3">
      <c r="D162" s="1"/>
      <c r="E162" s="2"/>
      <c r="F162" s="3"/>
    </row>
    <row r="163" spans="4:6" ht="14.25" customHeight="1" x14ac:dyDescent="0.3">
      <c r="D163" s="1"/>
      <c r="E163" s="2"/>
      <c r="F163" s="3"/>
    </row>
    <row r="164" spans="4:6" ht="14.25" customHeight="1" x14ac:dyDescent="0.3">
      <c r="D164" s="1"/>
      <c r="E164" s="2"/>
      <c r="F164" s="3"/>
    </row>
    <row r="165" spans="4:6" ht="14.25" customHeight="1" x14ac:dyDescent="0.3">
      <c r="D165" s="1"/>
      <c r="E165" s="2"/>
      <c r="F165" s="3"/>
    </row>
    <row r="166" spans="4:6" ht="14.25" customHeight="1" x14ac:dyDescent="0.3">
      <c r="D166" s="1"/>
      <c r="E166" s="2"/>
      <c r="F166" s="3"/>
    </row>
    <row r="167" spans="4:6" ht="14.25" customHeight="1" x14ac:dyDescent="0.3">
      <c r="D167" s="1"/>
      <c r="E167" s="2"/>
      <c r="F167" s="3"/>
    </row>
    <row r="168" spans="4:6" ht="14.25" customHeight="1" x14ac:dyDescent="0.3">
      <c r="D168" s="1"/>
      <c r="E168" s="2"/>
      <c r="F168" s="3"/>
    </row>
    <row r="169" spans="4:6" ht="14.25" customHeight="1" x14ac:dyDescent="0.3">
      <c r="D169" s="1"/>
      <c r="E169" s="2"/>
      <c r="F169" s="3"/>
    </row>
    <row r="170" spans="4:6" ht="14.25" customHeight="1" x14ac:dyDescent="0.3">
      <c r="D170" s="1"/>
      <c r="E170" s="2"/>
      <c r="F170" s="3"/>
    </row>
    <row r="171" spans="4:6" ht="14.25" customHeight="1" x14ac:dyDescent="0.3">
      <c r="D171" s="1"/>
      <c r="E171" s="2"/>
      <c r="F171" s="3"/>
    </row>
    <row r="172" spans="4:6" ht="14.25" customHeight="1" x14ac:dyDescent="0.3">
      <c r="D172" s="1"/>
      <c r="E172" s="2"/>
      <c r="F172" s="3"/>
    </row>
    <row r="173" spans="4:6" ht="14.25" customHeight="1" x14ac:dyDescent="0.3">
      <c r="D173" s="1"/>
      <c r="E173" s="2"/>
      <c r="F173" s="3"/>
    </row>
    <row r="174" spans="4:6" ht="14.25" customHeight="1" x14ac:dyDescent="0.3">
      <c r="D174" s="1"/>
      <c r="E174" s="2"/>
      <c r="F174" s="3"/>
    </row>
    <row r="175" spans="4:6" ht="14.25" customHeight="1" x14ac:dyDescent="0.3">
      <c r="D175" s="1"/>
      <c r="E175" s="2"/>
      <c r="F175" s="3"/>
    </row>
    <row r="176" spans="4:6" ht="14.25" customHeight="1" x14ac:dyDescent="0.3">
      <c r="D176" s="1"/>
      <c r="E176" s="2"/>
      <c r="F176" s="3"/>
    </row>
    <row r="177" spans="4:6" ht="14.25" customHeight="1" x14ac:dyDescent="0.3">
      <c r="D177" s="1"/>
      <c r="E177" s="2"/>
      <c r="F177" s="3"/>
    </row>
    <row r="178" spans="4:6" ht="14.25" customHeight="1" x14ac:dyDescent="0.3">
      <c r="D178" s="1"/>
      <c r="E178" s="2"/>
      <c r="F178" s="3"/>
    </row>
    <row r="179" spans="4:6" ht="14.25" customHeight="1" x14ac:dyDescent="0.3">
      <c r="D179" s="1"/>
      <c r="E179" s="2"/>
      <c r="F179" s="3"/>
    </row>
    <row r="180" spans="4:6" ht="14.25" customHeight="1" x14ac:dyDescent="0.3">
      <c r="D180" s="1"/>
      <c r="E180" s="2"/>
      <c r="F180" s="3"/>
    </row>
    <row r="181" spans="4:6" ht="14.25" customHeight="1" x14ac:dyDescent="0.3">
      <c r="D181" s="1"/>
      <c r="E181" s="2"/>
      <c r="F181" s="3"/>
    </row>
    <row r="182" spans="4:6" ht="14.25" customHeight="1" x14ac:dyDescent="0.3">
      <c r="D182" s="1"/>
      <c r="E182" s="2"/>
      <c r="F182" s="3"/>
    </row>
    <row r="183" spans="4:6" ht="14.25" customHeight="1" x14ac:dyDescent="0.3">
      <c r="D183" s="1"/>
      <c r="E183" s="2"/>
      <c r="F183" s="3"/>
    </row>
    <row r="184" spans="4:6" ht="14.25" customHeight="1" x14ac:dyDescent="0.3">
      <c r="D184" s="1"/>
      <c r="E184" s="2"/>
      <c r="F184" s="3"/>
    </row>
    <row r="185" spans="4:6" ht="14.25" customHeight="1" x14ac:dyDescent="0.3">
      <c r="D185" s="1"/>
      <c r="E185" s="2"/>
      <c r="F185" s="3"/>
    </row>
    <row r="186" spans="4:6" ht="14.25" customHeight="1" x14ac:dyDescent="0.3">
      <c r="D186" s="1"/>
      <c r="E186" s="2"/>
      <c r="F186" s="3"/>
    </row>
    <row r="187" spans="4:6" ht="14.25" customHeight="1" x14ac:dyDescent="0.3">
      <c r="D187" s="1"/>
      <c r="E187" s="2"/>
      <c r="F187" s="3"/>
    </row>
    <row r="188" spans="4:6" ht="14.25" customHeight="1" x14ac:dyDescent="0.3">
      <c r="D188" s="1"/>
      <c r="E188" s="2"/>
      <c r="F188" s="3"/>
    </row>
    <row r="189" spans="4:6" ht="14.25" customHeight="1" x14ac:dyDescent="0.3">
      <c r="D189" s="1"/>
      <c r="E189" s="2"/>
      <c r="F189" s="3"/>
    </row>
    <row r="190" spans="4:6" ht="14.25" customHeight="1" x14ac:dyDescent="0.3">
      <c r="D190" s="1"/>
      <c r="E190" s="2"/>
      <c r="F190" s="3"/>
    </row>
    <row r="191" spans="4:6" ht="14.25" customHeight="1" x14ac:dyDescent="0.3">
      <c r="D191" s="1"/>
      <c r="E191" s="2"/>
      <c r="F191" s="3"/>
    </row>
    <row r="192" spans="4:6" ht="14.25" customHeight="1" x14ac:dyDescent="0.3">
      <c r="D192" s="1"/>
      <c r="E192" s="2"/>
      <c r="F192" s="3"/>
    </row>
    <row r="193" spans="4:6" ht="14.25" customHeight="1" x14ac:dyDescent="0.3">
      <c r="D193" s="1"/>
      <c r="E193" s="2"/>
      <c r="F193" s="3"/>
    </row>
    <row r="194" spans="4:6" ht="14.25" customHeight="1" x14ac:dyDescent="0.3">
      <c r="D194" s="1"/>
      <c r="E194" s="2"/>
      <c r="F194" s="3"/>
    </row>
    <row r="195" spans="4:6" ht="14.25" customHeight="1" x14ac:dyDescent="0.3">
      <c r="D195" s="1"/>
      <c r="E195" s="2"/>
      <c r="F195" s="3"/>
    </row>
    <row r="196" spans="4:6" ht="14.25" customHeight="1" x14ac:dyDescent="0.3">
      <c r="D196" s="1"/>
      <c r="E196" s="2"/>
      <c r="F196" s="3"/>
    </row>
    <row r="197" spans="4:6" ht="14.25" customHeight="1" x14ac:dyDescent="0.3">
      <c r="D197" s="1"/>
      <c r="E197" s="2"/>
      <c r="F197" s="3"/>
    </row>
    <row r="198" spans="4:6" ht="14.25" customHeight="1" x14ac:dyDescent="0.3">
      <c r="D198" s="1"/>
      <c r="E198" s="2"/>
      <c r="F198" s="3"/>
    </row>
    <row r="199" spans="4:6" ht="14.25" customHeight="1" x14ac:dyDescent="0.3">
      <c r="D199" s="1"/>
      <c r="E199" s="2"/>
      <c r="F199" s="3"/>
    </row>
    <row r="200" spans="4:6" ht="14.25" customHeight="1" x14ac:dyDescent="0.3">
      <c r="D200" s="1"/>
      <c r="E200" s="2"/>
      <c r="F200" s="3"/>
    </row>
    <row r="201" spans="4:6" ht="14.25" customHeight="1" x14ac:dyDescent="0.3">
      <c r="D201" s="1"/>
      <c r="E201" s="2"/>
      <c r="F201" s="3"/>
    </row>
    <row r="202" spans="4:6" ht="14.25" customHeight="1" x14ac:dyDescent="0.3">
      <c r="D202" s="1"/>
      <c r="E202" s="2"/>
      <c r="F202" s="3"/>
    </row>
    <row r="203" spans="4:6" ht="14.25" customHeight="1" x14ac:dyDescent="0.3">
      <c r="D203" s="1"/>
      <c r="E203" s="2"/>
      <c r="F203" s="3"/>
    </row>
    <row r="204" spans="4:6" ht="14.25" customHeight="1" x14ac:dyDescent="0.3">
      <c r="D204" s="1"/>
      <c r="E204" s="2"/>
      <c r="F204" s="3"/>
    </row>
    <row r="205" spans="4:6" ht="14.25" customHeight="1" x14ac:dyDescent="0.3">
      <c r="D205" s="1"/>
      <c r="E205" s="2"/>
      <c r="F205" s="3"/>
    </row>
    <row r="206" spans="4:6" ht="14.25" customHeight="1" x14ac:dyDescent="0.3">
      <c r="D206" s="1"/>
      <c r="E206" s="2"/>
      <c r="F206" s="3"/>
    </row>
    <row r="207" spans="4:6" ht="14.25" customHeight="1" x14ac:dyDescent="0.3">
      <c r="D207" s="1"/>
      <c r="E207" s="2"/>
      <c r="F207" s="3"/>
    </row>
    <row r="208" spans="4:6" ht="14.25" customHeight="1" x14ac:dyDescent="0.3">
      <c r="D208" s="1"/>
      <c r="E208" s="2"/>
      <c r="F208" s="3"/>
    </row>
    <row r="209" spans="4:6" ht="14.25" customHeight="1" x14ac:dyDescent="0.3">
      <c r="D209" s="1"/>
      <c r="E209" s="2"/>
      <c r="F209" s="3"/>
    </row>
    <row r="210" spans="4:6" ht="14.25" customHeight="1" x14ac:dyDescent="0.3">
      <c r="D210" s="1"/>
      <c r="E210" s="2"/>
      <c r="F210" s="3"/>
    </row>
    <row r="211" spans="4:6" ht="14.25" customHeight="1" x14ac:dyDescent="0.3">
      <c r="D211" s="1"/>
      <c r="E211" s="2"/>
      <c r="F211" s="3"/>
    </row>
    <row r="212" spans="4:6" ht="14.25" customHeight="1" x14ac:dyDescent="0.3">
      <c r="D212" s="1"/>
      <c r="E212" s="2"/>
      <c r="F212" s="3"/>
    </row>
    <row r="213" spans="4:6" ht="14.25" customHeight="1" x14ac:dyDescent="0.3">
      <c r="D213" s="1"/>
      <c r="E213" s="2"/>
      <c r="F213" s="3"/>
    </row>
    <row r="214" spans="4:6" ht="14.25" customHeight="1" x14ac:dyDescent="0.3">
      <c r="D214" s="1"/>
      <c r="E214" s="2"/>
      <c r="F214" s="3"/>
    </row>
    <row r="215" spans="4:6" ht="14.25" customHeight="1" x14ac:dyDescent="0.3">
      <c r="D215" s="1"/>
      <c r="E215" s="2"/>
      <c r="F215" s="3"/>
    </row>
    <row r="216" spans="4:6" ht="14.25" customHeight="1" x14ac:dyDescent="0.3">
      <c r="D216" s="1"/>
      <c r="E216" s="2"/>
      <c r="F216" s="3"/>
    </row>
    <row r="217" spans="4:6" ht="14.25" customHeight="1" x14ac:dyDescent="0.3">
      <c r="D217" s="1"/>
      <c r="E217" s="2"/>
      <c r="F217" s="3"/>
    </row>
    <row r="218" spans="4:6" ht="14.25" customHeight="1" x14ac:dyDescent="0.3">
      <c r="D218" s="1"/>
      <c r="E218" s="2"/>
      <c r="F218" s="3"/>
    </row>
    <row r="219" spans="4:6" ht="14.25" customHeight="1" x14ac:dyDescent="0.3">
      <c r="D219" s="1"/>
      <c r="E219" s="2"/>
      <c r="F219" s="3"/>
    </row>
    <row r="220" spans="4:6" ht="14.25" customHeight="1" x14ac:dyDescent="0.3">
      <c r="D220" s="1"/>
      <c r="E220" s="2"/>
      <c r="F220" s="3"/>
    </row>
    <row r="221" spans="4:6" ht="14.25" customHeight="1" x14ac:dyDescent="0.3">
      <c r="D221" s="1"/>
      <c r="E221" s="2"/>
      <c r="F221" s="3"/>
    </row>
    <row r="222" spans="4:6" ht="14.25" customHeight="1" x14ac:dyDescent="0.3">
      <c r="D222" s="1"/>
      <c r="E222" s="2"/>
      <c r="F222" s="3"/>
    </row>
    <row r="223" spans="4:6" ht="14.25" customHeight="1" x14ac:dyDescent="0.3">
      <c r="D223" s="1"/>
      <c r="E223" s="2"/>
      <c r="F223" s="3"/>
    </row>
    <row r="224" spans="4:6" ht="14.25" customHeight="1" x14ac:dyDescent="0.3">
      <c r="D224" s="1"/>
      <c r="E224" s="2"/>
      <c r="F224" s="3"/>
    </row>
    <row r="225" spans="4:6" ht="14.25" customHeight="1" x14ac:dyDescent="0.3">
      <c r="D225" s="1"/>
      <c r="E225" s="2"/>
      <c r="F225" s="3"/>
    </row>
    <row r="226" spans="4:6" ht="14.25" customHeight="1" x14ac:dyDescent="0.3">
      <c r="D226" s="1"/>
      <c r="E226" s="2"/>
      <c r="F226" s="3"/>
    </row>
    <row r="227" spans="4:6" ht="14.25" customHeight="1" x14ac:dyDescent="0.3">
      <c r="D227" s="1"/>
      <c r="E227" s="2"/>
      <c r="F227" s="3"/>
    </row>
    <row r="228" spans="4:6" ht="14.25" customHeight="1" x14ac:dyDescent="0.3">
      <c r="D228" s="1"/>
      <c r="E228" s="2"/>
      <c r="F228" s="3"/>
    </row>
    <row r="229" spans="4:6" ht="14.25" customHeight="1" x14ac:dyDescent="0.3">
      <c r="D229" s="1"/>
      <c r="E229" s="2"/>
      <c r="F229" s="3"/>
    </row>
    <row r="230" spans="4:6" ht="14.25" customHeight="1" x14ac:dyDescent="0.3">
      <c r="D230" s="1"/>
      <c r="E230" s="2"/>
      <c r="F230" s="3"/>
    </row>
    <row r="231" spans="4:6" ht="14.25" customHeight="1" x14ac:dyDescent="0.3">
      <c r="D231" s="1"/>
      <c r="E231" s="2"/>
      <c r="F231" s="3"/>
    </row>
    <row r="232" spans="4:6" ht="14.25" customHeight="1" x14ac:dyDescent="0.3">
      <c r="D232" s="1"/>
      <c r="E232" s="2"/>
      <c r="F232" s="3"/>
    </row>
    <row r="233" spans="4:6" ht="14.25" customHeight="1" x14ac:dyDescent="0.3">
      <c r="D233" s="1"/>
      <c r="E233" s="2"/>
      <c r="F233" s="3"/>
    </row>
    <row r="234" spans="4:6" ht="14.25" customHeight="1" x14ac:dyDescent="0.3">
      <c r="D234" s="1"/>
      <c r="E234" s="2"/>
      <c r="F234" s="3"/>
    </row>
    <row r="235" spans="4:6" ht="14.25" customHeight="1" x14ac:dyDescent="0.3">
      <c r="D235" s="1"/>
      <c r="E235" s="2"/>
      <c r="F235" s="3"/>
    </row>
    <row r="236" spans="4:6" ht="14.25" customHeight="1" x14ac:dyDescent="0.3">
      <c r="D236" s="1"/>
      <c r="E236" s="2"/>
      <c r="F236" s="3"/>
    </row>
    <row r="237" spans="4:6" ht="14.25" customHeight="1" x14ac:dyDescent="0.3">
      <c r="D237" s="1"/>
      <c r="E237" s="2"/>
      <c r="F237" s="3"/>
    </row>
    <row r="238" spans="4:6" ht="14.25" customHeight="1" x14ac:dyDescent="0.3">
      <c r="D238" s="1"/>
      <c r="E238" s="2"/>
      <c r="F238" s="3"/>
    </row>
    <row r="239" spans="4:6" ht="14.25" customHeight="1" x14ac:dyDescent="0.3">
      <c r="D239" s="1"/>
      <c r="E239" s="2"/>
      <c r="F239" s="3"/>
    </row>
    <row r="240" spans="4:6" ht="14.25" customHeight="1" x14ac:dyDescent="0.3">
      <c r="D240" s="1"/>
      <c r="E240" s="2"/>
      <c r="F240" s="3"/>
    </row>
    <row r="241" spans="4:6" ht="14.25" customHeight="1" x14ac:dyDescent="0.3">
      <c r="D241" s="1"/>
      <c r="E241" s="2"/>
      <c r="F241" s="3"/>
    </row>
    <row r="242" spans="4:6" ht="14.25" customHeight="1" x14ac:dyDescent="0.3">
      <c r="D242" s="1"/>
      <c r="E242" s="2"/>
      <c r="F242" s="3"/>
    </row>
    <row r="243" spans="4:6" ht="14.25" customHeight="1" x14ac:dyDescent="0.3">
      <c r="D243" s="1"/>
      <c r="E243" s="2"/>
      <c r="F243" s="3"/>
    </row>
    <row r="244" spans="4:6" ht="14.25" customHeight="1" x14ac:dyDescent="0.3">
      <c r="D244" s="1"/>
      <c r="E244" s="2"/>
      <c r="F244" s="3"/>
    </row>
    <row r="245" spans="4:6" ht="14.25" customHeight="1" x14ac:dyDescent="0.3">
      <c r="D245" s="1"/>
      <c r="E245" s="2"/>
      <c r="F245" s="3"/>
    </row>
    <row r="246" spans="4:6" ht="14.25" customHeight="1" x14ac:dyDescent="0.3">
      <c r="D246" s="1"/>
      <c r="E246" s="2"/>
      <c r="F246" s="3"/>
    </row>
    <row r="247" spans="4:6" ht="14.25" customHeight="1" x14ac:dyDescent="0.3">
      <c r="D247" s="1"/>
      <c r="E247" s="2"/>
      <c r="F247" s="3"/>
    </row>
    <row r="248" spans="4:6" ht="14.25" customHeight="1" x14ac:dyDescent="0.3">
      <c r="D248" s="1"/>
      <c r="E248" s="2"/>
      <c r="F248" s="3"/>
    </row>
    <row r="249" spans="4:6" ht="14.25" customHeight="1" x14ac:dyDescent="0.3">
      <c r="D249" s="1"/>
      <c r="E249" s="2"/>
      <c r="F249" s="3"/>
    </row>
    <row r="250" spans="4:6" ht="14.25" customHeight="1" x14ac:dyDescent="0.3">
      <c r="D250" s="1"/>
      <c r="E250" s="2"/>
      <c r="F250" s="3"/>
    </row>
    <row r="251" spans="4:6" ht="14.25" customHeight="1" x14ac:dyDescent="0.3">
      <c r="D251" s="1"/>
      <c r="E251" s="2"/>
      <c r="F251" s="3"/>
    </row>
    <row r="252" spans="4:6" ht="14.25" customHeight="1" x14ac:dyDescent="0.3">
      <c r="D252" s="1"/>
      <c r="E252" s="2"/>
      <c r="F252" s="3"/>
    </row>
    <row r="253" spans="4:6" ht="14.25" customHeight="1" x14ac:dyDescent="0.3">
      <c r="D253" s="1"/>
      <c r="E253" s="2"/>
      <c r="F253" s="3"/>
    </row>
    <row r="254" spans="4:6" ht="14.25" customHeight="1" x14ac:dyDescent="0.3">
      <c r="D254" s="1"/>
      <c r="E254" s="2"/>
      <c r="F254" s="3"/>
    </row>
    <row r="255" spans="4:6" ht="14.25" customHeight="1" x14ac:dyDescent="0.3">
      <c r="D255" s="1"/>
      <c r="E255" s="2"/>
      <c r="F255" s="3"/>
    </row>
    <row r="256" spans="4:6" ht="14.25" customHeight="1" x14ac:dyDescent="0.3">
      <c r="D256" s="1"/>
      <c r="E256" s="2"/>
      <c r="F256" s="3"/>
    </row>
    <row r="257" spans="4:6" ht="14.25" customHeight="1" x14ac:dyDescent="0.3">
      <c r="D257" s="1"/>
      <c r="E257" s="2"/>
      <c r="F257" s="3"/>
    </row>
    <row r="258" spans="4:6" ht="14.25" customHeight="1" x14ac:dyDescent="0.3">
      <c r="D258" s="1"/>
      <c r="E258" s="2"/>
      <c r="F258" s="3"/>
    </row>
    <row r="259" spans="4:6" ht="14.25" customHeight="1" x14ac:dyDescent="0.3">
      <c r="D259" s="1"/>
      <c r="E259" s="2"/>
      <c r="F259" s="3"/>
    </row>
    <row r="260" spans="4:6" ht="14.25" customHeight="1" x14ac:dyDescent="0.3">
      <c r="D260" s="1"/>
      <c r="E260" s="2"/>
      <c r="F260" s="3"/>
    </row>
    <row r="261" spans="4:6" ht="14.25" customHeight="1" x14ac:dyDescent="0.3">
      <c r="D261" s="1"/>
      <c r="E261" s="2"/>
      <c r="F261" s="3"/>
    </row>
    <row r="262" spans="4:6" ht="14.25" customHeight="1" x14ac:dyDescent="0.3">
      <c r="D262" s="1"/>
      <c r="E262" s="2"/>
      <c r="F262" s="3"/>
    </row>
    <row r="263" spans="4:6" ht="14.25" customHeight="1" x14ac:dyDescent="0.3">
      <c r="D263" s="1"/>
      <c r="E263" s="2"/>
      <c r="F263" s="3"/>
    </row>
    <row r="264" spans="4:6" ht="14.25" customHeight="1" x14ac:dyDescent="0.3">
      <c r="D264" s="1"/>
      <c r="E264" s="2"/>
      <c r="F264" s="3"/>
    </row>
    <row r="265" spans="4:6" ht="14.25" customHeight="1" x14ac:dyDescent="0.3">
      <c r="D265" s="1"/>
      <c r="E265" s="2"/>
      <c r="F265" s="3"/>
    </row>
    <row r="266" spans="4:6" ht="14.25" customHeight="1" x14ac:dyDescent="0.3">
      <c r="D266" s="1"/>
      <c r="E266" s="2"/>
      <c r="F266" s="3"/>
    </row>
    <row r="267" spans="4:6" ht="14.25" customHeight="1" x14ac:dyDescent="0.3">
      <c r="D267" s="1"/>
      <c r="E267" s="2"/>
      <c r="F267" s="3"/>
    </row>
    <row r="268" spans="4:6" ht="14.25" customHeight="1" x14ac:dyDescent="0.3">
      <c r="D268" s="1"/>
      <c r="E268" s="2"/>
      <c r="F268" s="3"/>
    </row>
    <row r="269" spans="4:6" ht="14.25" customHeight="1" x14ac:dyDescent="0.3">
      <c r="D269" s="1"/>
      <c r="E269" s="2"/>
      <c r="F269" s="3"/>
    </row>
    <row r="270" spans="4:6" ht="14.25" customHeight="1" x14ac:dyDescent="0.3">
      <c r="D270" s="1"/>
      <c r="E270" s="2"/>
      <c r="F270" s="3"/>
    </row>
    <row r="271" spans="4:6" ht="14.25" customHeight="1" x14ac:dyDescent="0.3">
      <c r="D271" s="1"/>
      <c r="E271" s="2"/>
      <c r="F271" s="3"/>
    </row>
    <row r="272" spans="4:6" ht="14.25" customHeight="1" x14ac:dyDescent="0.3">
      <c r="D272" s="1"/>
      <c r="E272" s="2"/>
      <c r="F272" s="3"/>
    </row>
    <row r="273" spans="4:6" ht="14.25" customHeight="1" x14ac:dyDescent="0.3">
      <c r="D273" s="1"/>
      <c r="E273" s="2"/>
      <c r="F273" s="3"/>
    </row>
    <row r="274" spans="4:6" ht="14.25" customHeight="1" x14ac:dyDescent="0.3">
      <c r="D274" s="1"/>
      <c r="E274" s="2"/>
      <c r="F274" s="3"/>
    </row>
    <row r="275" spans="4:6" ht="14.25" customHeight="1" x14ac:dyDescent="0.3">
      <c r="D275" s="1"/>
      <c r="E275" s="2"/>
      <c r="F275" s="3"/>
    </row>
    <row r="276" spans="4:6" ht="14.25" customHeight="1" x14ac:dyDescent="0.3">
      <c r="D276" s="1"/>
      <c r="E276" s="2"/>
      <c r="F276" s="3"/>
    </row>
    <row r="277" spans="4:6" ht="14.25" customHeight="1" x14ac:dyDescent="0.3">
      <c r="D277" s="1"/>
      <c r="E277" s="2"/>
      <c r="F277" s="3"/>
    </row>
    <row r="278" spans="4:6" ht="14.25" customHeight="1" x14ac:dyDescent="0.3">
      <c r="D278" s="1"/>
      <c r="E278" s="2"/>
      <c r="F278" s="3"/>
    </row>
    <row r="279" spans="4:6" ht="14.25" customHeight="1" x14ac:dyDescent="0.3">
      <c r="D279" s="1"/>
      <c r="E279" s="2"/>
      <c r="F279" s="3"/>
    </row>
    <row r="280" spans="4:6" ht="14.25" customHeight="1" x14ac:dyDescent="0.3">
      <c r="D280" s="1"/>
      <c r="E280" s="2"/>
      <c r="F280" s="3"/>
    </row>
    <row r="281" spans="4:6" ht="14.25" customHeight="1" x14ac:dyDescent="0.3">
      <c r="D281" s="1"/>
      <c r="E281" s="2"/>
      <c r="F281" s="3"/>
    </row>
    <row r="282" spans="4:6" ht="14.25" customHeight="1" x14ac:dyDescent="0.3">
      <c r="D282" s="1"/>
      <c r="E282" s="2"/>
      <c r="F282" s="3"/>
    </row>
    <row r="283" spans="4:6" ht="14.25" customHeight="1" x14ac:dyDescent="0.3">
      <c r="D283" s="1"/>
      <c r="E283" s="2"/>
      <c r="F283" s="3"/>
    </row>
    <row r="284" spans="4:6" ht="14.25" customHeight="1" x14ac:dyDescent="0.3">
      <c r="D284" s="1"/>
      <c r="E284" s="2"/>
      <c r="F284" s="3"/>
    </row>
    <row r="285" spans="4:6" ht="14.25" customHeight="1" x14ac:dyDescent="0.3">
      <c r="D285" s="1"/>
      <c r="E285" s="2"/>
      <c r="F285" s="3"/>
    </row>
    <row r="286" spans="4:6" ht="14.25" customHeight="1" x14ac:dyDescent="0.3">
      <c r="D286" s="1"/>
      <c r="E286" s="2"/>
      <c r="F286" s="3"/>
    </row>
    <row r="287" spans="4:6" ht="14.25" customHeight="1" x14ac:dyDescent="0.3">
      <c r="D287" s="1"/>
      <c r="E287" s="2"/>
      <c r="F287" s="3"/>
    </row>
    <row r="288" spans="4:6" ht="14.25" customHeight="1" x14ac:dyDescent="0.3">
      <c r="D288" s="1"/>
      <c r="E288" s="2"/>
      <c r="F288" s="3"/>
    </row>
    <row r="289" spans="4:6" ht="14.25" customHeight="1" x14ac:dyDescent="0.3">
      <c r="D289" s="1"/>
      <c r="E289" s="2"/>
      <c r="F289" s="3"/>
    </row>
    <row r="290" spans="4:6" ht="14.25" customHeight="1" x14ac:dyDescent="0.3">
      <c r="D290" s="1"/>
      <c r="E290" s="2"/>
      <c r="F290" s="3"/>
    </row>
    <row r="291" spans="4:6" ht="14.25" customHeight="1" x14ac:dyDescent="0.3">
      <c r="D291" s="1"/>
      <c r="E291" s="2"/>
      <c r="F291" s="3"/>
    </row>
    <row r="292" spans="4:6" ht="14.25" customHeight="1" x14ac:dyDescent="0.3">
      <c r="D292" s="1"/>
      <c r="E292" s="2"/>
      <c r="F292" s="3"/>
    </row>
    <row r="293" spans="4:6" ht="14.25" customHeight="1" x14ac:dyDescent="0.3">
      <c r="D293" s="1"/>
      <c r="E293" s="2"/>
      <c r="F293" s="3"/>
    </row>
    <row r="294" spans="4:6" ht="14.25" customHeight="1" x14ac:dyDescent="0.3">
      <c r="D294" s="1"/>
      <c r="E294" s="2"/>
      <c r="F294" s="3"/>
    </row>
    <row r="295" spans="4:6" ht="14.25" customHeight="1" x14ac:dyDescent="0.3">
      <c r="D295" s="1"/>
      <c r="E295" s="2"/>
      <c r="F295" s="3"/>
    </row>
    <row r="296" spans="4:6" ht="14.25" customHeight="1" x14ac:dyDescent="0.3">
      <c r="D296" s="1"/>
      <c r="E296" s="2"/>
      <c r="F296" s="3"/>
    </row>
    <row r="297" spans="4:6" ht="14.25" customHeight="1" x14ac:dyDescent="0.3">
      <c r="D297" s="1"/>
      <c r="E297" s="2"/>
      <c r="F297" s="3"/>
    </row>
    <row r="298" spans="4:6" ht="14.25" customHeight="1" x14ac:dyDescent="0.3">
      <c r="D298" s="1"/>
      <c r="E298" s="2"/>
      <c r="F298" s="3"/>
    </row>
    <row r="299" spans="4:6" ht="14.25" customHeight="1" x14ac:dyDescent="0.3">
      <c r="D299" s="1"/>
      <c r="E299" s="2"/>
      <c r="F299" s="3"/>
    </row>
    <row r="300" spans="4:6" ht="14.25" customHeight="1" x14ac:dyDescent="0.3">
      <c r="D300" s="1"/>
      <c r="E300" s="2"/>
      <c r="F300" s="3"/>
    </row>
    <row r="301" spans="4:6" ht="14.25" customHeight="1" x14ac:dyDescent="0.3">
      <c r="D301" s="1"/>
      <c r="E301" s="2"/>
      <c r="F301" s="3"/>
    </row>
    <row r="302" spans="4:6" ht="14.25" customHeight="1" x14ac:dyDescent="0.3">
      <c r="D302" s="1"/>
      <c r="E302" s="2"/>
      <c r="F302" s="3"/>
    </row>
    <row r="303" spans="4:6" ht="14.25" customHeight="1" x14ac:dyDescent="0.3">
      <c r="D303" s="1"/>
      <c r="E303" s="2"/>
      <c r="F303" s="3"/>
    </row>
    <row r="304" spans="4:6" ht="14.25" customHeight="1" x14ac:dyDescent="0.3">
      <c r="D304" s="1"/>
      <c r="E304" s="2"/>
      <c r="F304" s="3"/>
    </row>
    <row r="305" spans="4:6" ht="14.25" customHeight="1" x14ac:dyDescent="0.3">
      <c r="D305" s="1"/>
      <c r="E305" s="2"/>
      <c r="F305" s="3"/>
    </row>
    <row r="306" spans="4:6" ht="14.25" customHeight="1" x14ac:dyDescent="0.3">
      <c r="D306" s="1"/>
      <c r="E306" s="2"/>
      <c r="F306" s="3"/>
    </row>
    <row r="307" spans="4:6" ht="14.25" customHeight="1" x14ac:dyDescent="0.3">
      <c r="D307" s="1"/>
      <c r="E307" s="2"/>
      <c r="F307" s="3"/>
    </row>
    <row r="308" spans="4:6" ht="14.25" customHeight="1" x14ac:dyDescent="0.3">
      <c r="D308" s="1"/>
      <c r="E308" s="2"/>
      <c r="F308" s="3"/>
    </row>
    <row r="309" spans="4:6" ht="14.25" customHeight="1" x14ac:dyDescent="0.3">
      <c r="D309" s="1"/>
      <c r="E309" s="2"/>
      <c r="F309" s="3"/>
    </row>
    <row r="310" spans="4:6" ht="14.25" customHeight="1" x14ac:dyDescent="0.3">
      <c r="D310" s="1"/>
      <c r="E310" s="2"/>
      <c r="F310" s="3"/>
    </row>
    <row r="311" spans="4:6" ht="14.25" customHeight="1" x14ac:dyDescent="0.3">
      <c r="D311" s="1"/>
      <c r="E311" s="2"/>
      <c r="F311" s="3"/>
    </row>
    <row r="312" spans="4:6" ht="14.25" customHeight="1" x14ac:dyDescent="0.3">
      <c r="D312" s="1"/>
      <c r="E312" s="2"/>
      <c r="F312" s="3"/>
    </row>
    <row r="313" spans="4:6" ht="14.25" customHeight="1" x14ac:dyDescent="0.3">
      <c r="D313" s="1"/>
      <c r="E313" s="2"/>
      <c r="F313" s="3"/>
    </row>
    <row r="314" spans="4:6" ht="14.25" customHeight="1" x14ac:dyDescent="0.3">
      <c r="D314" s="1"/>
      <c r="E314" s="2"/>
      <c r="F314" s="3"/>
    </row>
    <row r="315" spans="4:6" ht="14.25" customHeight="1" x14ac:dyDescent="0.3">
      <c r="D315" s="1"/>
      <c r="E315" s="2"/>
      <c r="F315" s="3"/>
    </row>
    <row r="316" spans="4:6" ht="14.25" customHeight="1" x14ac:dyDescent="0.3">
      <c r="D316" s="1"/>
      <c r="E316" s="2"/>
      <c r="F316" s="3"/>
    </row>
    <row r="317" spans="4:6" ht="14.25" customHeight="1" x14ac:dyDescent="0.3">
      <c r="D317" s="1"/>
      <c r="E317" s="2"/>
      <c r="F317" s="3"/>
    </row>
    <row r="318" spans="4:6" ht="14.25" customHeight="1" x14ac:dyDescent="0.3">
      <c r="D318" s="1"/>
      <c r="E318" s="2"/>
      <c r="F318" s="3"/>
    </row>
    <row r="319" spans="4:6" ht="14.25" customHeight="1" x14ac:dyDescent="0.3">
      <c r="D319" s="1"/>
      <c r="E319" s="2"/>
      <c r="F319" s="3"/>
    </row>
    <row r="320" spans="4:6" ht="14.25" customHeight="1" x14ac:dyDescent="0.3">
      <c r="D320" s="1"/>
      <c r="E320" s="2"/>
      <c r="F320" s="3"/>
    </row>
    <row r="321" spans="4:6" ht="14.25" customHeight="1" x14ac:dyDescent="0.3">
      <c r="D321" s="1"/>
      <c r="E321" s="2"/>
      <c r="F321" s="3"/>
    </row>
    <row r="322" spans="4:6" ht="14.25" customHeight="1" x14ac:dyDescent="0.3">
      <c r="D322" s="1"/>
      <c r="E322" s="2"/>
      <c r="F322" s="3"/>
    </row>
    <row r="323" spans="4:6" ht="14.25" customHeight="1" x14ac:dyDescent="0.3">
      <c r="D323" s="1"/>
      <c r="E323" s="2"/>
      <c r="F323" s="3"/>
    </row>
    <row r="324" spans="4:6" ht="14.25" customHeight="1" x14ac:dyDescent="0.3">
      <c r="D324" s="1"/>
      <c r="E324" s="2"/>
      <c r="F324" s="3"/>
    </row>
    <row r="325" spans="4:6" ht="14.25" customHeight="1" x14ac:dyDescent="0.3">
      <c r="D325" s="1"/>
      <c r="E325" s="2"/>
      <c r="F325" s="3"/>
    </row>
    <row r="326" spans="4:6" ht="14.25" customHeight="1" x14ac:dyDescent="0.3">
      <c r="D326" s="1"/>
      <c r="E326" s="2"/>
      <c r="F326" s="3"/>
    </row>
    <row r="327" spans="4:6" ht="14.25" customHeight="1" x14ac:dyDescent="0.3">
      <c r="D327" s="1"/>
      <c r="E327" s="2"/>
      <c r="F327" s="3"/>
    </row>
    <row r="328" spans="4:6" ht="14.25" customHeight="1" x14ac:dyDescent="0.3">
      <c r="D328" s="1"/>
      <c r="E328" s="2"/>
      <c r="F328" s="3"/>
    </row>
    <row r="329" spans="4:6" ht="14.25" customHeight="1" x14ac:dyDescent="0.3">
      <c r="D329" s="1"/>
      <c r="E329" s="2"/>
      <c r="F329" s="3"/>
    </row>
    <row r="330" spans="4:6" ht="14.25" customHeight="1" x14ac:dyDescent="0.3">
      <c r="D330" s="1"/>
      <c r="E330" s="2"/>
      <c r="F330" s="3"/>
    </row>
    <row r="331" spans="4:6" ht="14.25" customHeight="1" x14ac:dyDescent="0.3">
      <c r="D331" s="1"/>
      <c r="E331" s="2"/>
      <c r="F331" s="3"/>
    </row>
    <row r="332" spans="4:6" ht="14.25" customHeight="1" x14ac:dyDescent="0.3">
      <c r="D332" s="1"/>
      <c r="E332" s="2"/>
      <c r="F332" s="3"/>
    </row>
    <row r="333" spans="4:6" ht="14.25" customHeight="1" x14ac:dyDescent="0.3">
      <c r="D333" s="1"/>
      <c r="E333" s="2"/>
      <c r="F333" s="3"/>
    </row>
    <row r="334" spans="4:6" ht="14.25" customHeight="1" x14ac:dyDescent="0.3">
      <c r="D334" s="1"/>
      <c r="E334" s="2"/>
      <c r="F334" s="3"/>
    </row>
    <row r="335" spans="4:6" ht="14.25" customHeight="1" x14ac:dyDescent="0.3">
      <c r="D335" s="1"/>
      <c r="E335" s="2"/>
      <c r="F335" s="3"/>
    </row>
    <row r="336" spans="4:6" ht="14.25" customHeight="1" x14ac:dyDescent="0.3">
      <c r="D336" s="1"/>
      <c r="E336" s="2"/>
      <c r="F336" s="3"/>
    </row>
    <row r="337" spans="4:6" ht="14.25" customHeight="1" x14ac:dyDescent="0.3">
      <c r="D337" s="1"/>
      <c r="E337" s="2"/>
      <c r="F337" s="3"/>
    </row>
    <row r="338" spans="4:6" ht="14.25" customHeight="1" x14ac:dyDescent="0.3">
      <c r="D338" s="1"/>
      <c r="E338" s="2"/>
      <c r="F338" s="3"/>
    </row>
    <row r="339" spans="4:6" ht="14.25" customHeight="1" x14ac:dyDescent="0.3">
      <c r="D339" s="1"/>
      <c r="E339" s="2"/>
      <c r="F339" s="3"/>
    </row>
    <row r="340" spans="4:6" ht="14.25" customHeight="1" x14ac:dyDescent="0.3">
      <c r="D340" s="1"/>
      <c r="E340" s="2"/>
      <c r="F340" s="3"/>
    </row>
    <row r="341" spans="4:6" ht="14.25" customHeight="1" x14ac:dyDescent="0.3">
      <c r="D341" s="1"/>
      <c r="E341" s="2"/>
      <c r="F341" s="3"/>
    </row>
    <row r="342" spans="4:6" ht="14.25" customHeight="1" x14ac:dyDescent="0.3">
      <c r="D342" s="1"/>
      <c r="E342" s="2"/>
      <c r="F342" s="3"/>
    </row>
    <row r="343" spans="4:6" ht="14.25" customHeight="1" x14ac:dyDescent="0.3">
      <c r="D343" s="1"/>
      <c r="E343" s="2"/>
      <c r="F343" s="3"/>
    </row>
    <row r="344" spans="4:6" ht="14.25" customHeight="1" x14ac:dyDescent="0.3">
      <c r="D344" s="1"/>
      <c r="E344" s="2"/>
      <c r="F344" s="3"/>
    </row>
    <row r="345" spans="4:6" ht="14.25" customHeight="1" x14ac:dyDescent="0.3">
      <c r="D345" s="1"/>
      <c r="E345" s="2"/>
      <c r="F345" s="3"/>
    </row>
    <row r="346" spans="4:6" ht="14.25" customHeight="1" x14ac:dyDescent="0.3">
      <c r="D346" s="1"/>
      <c r="E346" s="2"/>
      <c r="F346" s="3"/>
    </row>
    <row r="347" spans="4:6" ht="14.25" customHeight="1" x14ac:dyDescent="0.3">
      <c r="D347" s="1"/>
      <c r="E347" s="2"/>
      <c r="F347" s="3"/>
    </row>
    <row r="348" spans="4:6" ht="14.25" customHeight="1" x14ac:dyDescent="0.3">
      <c r="D348" s="1"/>
      <c r="E348" s="2"/>
      <c r="F348" s="3"/>
    </row>
    <row r="349" spans="4:6" ht="14.25" customHeight="1" x14ac:dyDescent="0.3">
      <c r="D349" s="1"/>
      <c r="E349" s="2"/>
      <c r="F349" s="3"/>
    </row>
    <row r="350" spans="4:6" ht="14.25" customHeight="1" x14ac:dyDescent="0.3">
      <c r="D350" s="1"/>
      <c r="E350" s="2"/>
      <c r="F350" s="3"/>
    </row>
    <row r="351" spans="4:6" ht="14.25" customHeight="1" x14ac:dyDescent="0.3">
      <c r="D351" s="1"/>
      <c r="E351" s="2"/>
      <c r="F351" s="3"/>
    </row>
    <row r="352" spans="4:6" ht="14.25" customHeight="1" x14ac:dyDescent="0.3">
      <c r="D352" s="1"/>
      <c r="E352" s="2"/>
      <c r="F352" s="3"/>
    </row>
    <row r="353" spans="4:6" ht="14.25" customHeight="1" x14ac:dyDescent="0.3">
      <c r="D353" s="1"/>
      <c r="E353" s="2"/>
      <c r="F353" s="3"/>
    </row>
    <row r="354" spans="4:6" ht="14.25" customHeight="1" x14ac:dyDescent="0.3">
      <c r="D354" s="1"/>
      <c r="E354" s="2"/>
      <c r="F354" s="3"/>
    </row>
    <row r="355" spans="4:6" ht="14.25" customHeight="1" x14ac:dyDescent="0.3">
      <c r="D355" s="1"/>
      <c r="E355" s="2"/>
      <c r="F355" s="3"/>
    </row>
    <row r="356" spans="4:6" ht="14.25" customHeight="1" x14ac:dyDescent="0.3">
      <c r="D356" s="1"/>
      <c r="E356" s="2"/>
      <c r="F356" s="3"/>
    </row>
    <row r="357" spans="4:6" ht="14.25" customHeight="1" x14ac:dyDescent="0.3">
      <c r="D357" s="1"/>
      <c r="E357" s="2"/>
      <c r="F357" s="3"/>
    </row>
    <row r="358" spans="4:6" ht="14.25" customHeight="1" x14ac:dyDescent="0.3">
      <c r="D358" s="1"/>
      <c r="E358" s="2"/>
      <c r="F358" s="3"/>
    </row>
    <row r="359" spans="4:6" ht="14.25" customHeight="1" x14ac:dyDescent="0.3">
      <c r="D359" s="1"/>
      <c r="E359" s="2"/>
      <c r="F359" s="3"/>
    </row>
    <row r="360" spans="4:6" ht="14.25" customHeight="1" x14ac:dyDescent="0.3">
      <c r="D360" s="1"/>
      <c r="E360" s="2"/>
      <c r="F360" s="3"/>
    </row>
    <row r="361" spans="4:6" ht="14.25" customHeight="1" x14ac:dyDescent="0.3">
      <c r="D361" s="1"/>
      <c r="E361" s="2"/>
      <c r="F361" s="3"/>
    </row>
    <row r="362" spans="4:6" ht="14.25" customHeight="1" x14ac:dyDescent="0.3">
      <c r="D362" s="1"/>
      <c r="E362" s="2"/>
      <c r="F362" s="3"/>
    </row>
    <row r="363" spans="4:6" ht="14.25" customHeight="1" x14ac:dyDescent="0.3">
      <c r="D363" s="1"/>
      <c r="E363" s="2"/>
      <c r="F363" s="3"/>
    </row>
    <row r="364" spans="4:6" ht="14.25" customHeight="1" x14ac:dyDescent="0.3">
      <c r="D364" s="1"/>
      <c r="E364" s="2"/>
      <c r="F364" s="3"/>
    </row>
    <row r="365" spans="4:6" ht="14.25" customHeight="1" x14ac:dyDescent="0.3">
      <c r="D365" s="1"/>
      <c r="E365" s="2"/>
      <c r="F365" s="3"/>
    </row>
    <row r="366" spans="4:6" ht="14.25" customHeight="1" x14ac:dyDescent="0.3">
      <c r="D366" s="1"/>
      <c r="E366" s="2"/>
      <c r="F366" s="3"/>
    </row>
    <row r="367" spans="4:6" ht="14.25" customHeight="1" x14ac:dyDescent="0.3">
      <c r="D367" s="1"/>
      <c r="E367" s="2"/>
      <c r="F367" s="3"/>
    </row>
    <row r="368" spans="4:6" ht="14.25" customHeight="1" x14ac:dyDescent="0.3">
      <c r="D368" s="1"/>
      <c r="E368" s="2"/>
      <c r="F368" s="3"/>
    </row>
    <row r="369" spans="4:6" ht="14.25" customHeight="1" x14ac:dyDescent="0.3">
      <c r="D369" s="1"/>
      <c r="E369" s="2"/>
      <c r="F369" s="3"/>
    </row>
    <row r="370" spans="4:6" ht="14.25" customHeight="1" x14ac:dyDescent="0.3">
      <c r="D370" s="1"/>
      <c r="E370" s="2"/>
      <c r="F370" s="3"/>
    </row>
    <row r="371" spans="4:6" ht="14.25" customHeight="1" x14ac:dyDescent="0.3">
      <c r="D371" s="1"/>
      <c r="E371" s="2"/>
      <c r="F371" s="3"/>
    </row>
    <row r="372" spans="4:6" ht="14.25" customHeight="1" x14ac:dyDescent="0.3">
      <c r="D372" s="1"/>
      <c r="E372" s="2"/>
      <c r="F372" s="3"/>
    </row>
    <row r="373" spans="4:6" ht="14.25" customHeight="1" x14ac:dyDescent="0.3">
      <c r="D373" s="1"/>
      <c r="E373" s="2"/>
      <c r="F373" s="3"/>
    </row>
    <row r="374" spans="4:6" ht="14.25" customHeight="1" x14ac:dyDescent="0.3">
      <c r="D374" s="1"/>
      <c r="E374" s="2"/>
      <c r="F374" s="3"/>
    </row>
    <row r="375" spans="4:6" ht="14.25" customHeight="1" x14ac:dyDescent="0.3">
      <c r="D375" s="1"/>
      <c r="E375" s="2"/>
      <c r="F375" s="3"/>
    </row>
    <row r="376" spans="4:6" ht="14.25" customHeight="1" x14ac:dyDescent="0.3">
      <c r="D376" s="1"/>
      <c r="E376" s="2"/>
      <c r="F376" s="3"/>
    </row>
    <row r="377" spans="4:6" ht="14.25" customHeight="1" x14ac:dyDescent="0.3">
      <c r="D377" s="1"/>
      <c r="E377" s="2"/>
      <c r="F377" s="3"/>
    </row>
    <row r="378" spans="4:6" ht="14.25" customHeight="1" x14ac:dyDescent="0.3">
      <c r="D378" s="1"/>
      <c r="E378" s="2"/>
      <c r="F378" s="3"/>
    </row>
    <row r="379" spans="4:6" ht="14.25" customHeight="1" x14ac:dyDescent="0.3">
      <c r="D379" s="1"/>
      <c r="E379" s="2"/>
      <c r="F379" s="3"/>
    </row>
    <row r="380" spans="4:6" ht="14.25" customHeight="1" x14ac:dyDescent="0.3">
      <c r="D380" s="1"/>
      <c r="E380" s="2"/>
      <c r="F380" s="3"/>
    </row>
    <row r="381" spans="4:6" ht="14.25" customHeight="1" x14ac:dyDescent="0.3">
      <c r="D381" s="1"/>
      <c r="E381" s="2"/>
      <c r="F381" s="3"/>
    </row>
    <row r="382" spans="4:6" ht="14.25" customHeight="1" x14ac:dyDescent="0.3">
      <c r="D382" s="1"/>
      <c r="E382" s="2"/>
      <c r="F382" s="3"/>
    </row>
    <row r="383" spans="4:6" ht="14.25" customHeight="1" x14ac:dyDescent="0.3">
      <c r="D383" s="1"/>
      <c r="E383" s="2"/>
      <c r="F383" s="3"/>
    </row>
    <row r="384" spans="4:6" ht="14.25" customHeight="1" x14ac:dyDescent="0.3">
      <c r="D384" s="1"/>
      <c r="E384" s="2"/>
      <c r="F384" s="3"/>
    </row>
    <row r="385" spans="4:6" ht="14.25" customHeight="1" x14ac:dyDescent="0.3">
      <c r="D385" s="1"/>
      <c r="E385" s="2"/>
      <c r="F385" s="3"/>
    </row>
    <row r="386" spans="4:6" ht="14.25" customHeight="1" x14ac:dyDescent="0.3">
      <c r="D386" s="1"/>
      <c r="E386" s="2"/>
      <c r="F386" s="3"/>
    </row>
    <row r="387" spans="4:6" ht="14.25" customHeight="1" x14ac:dyDescent="0.3">
      <c r="D387" s="1"/>
      <c r="E387" s="2"/>
      <c r="F387" s="3"/>
    </row>
    <row r="388" spans="4:6" ht="14.25" customHeight="1" x14ac:dyDescent="0.3">
      <c r="D388" s="1"/>
      <c r="E388" s="2"/>
      <c r="F388" s="3"/>
    </row>
    <row r="389" spans="4:6" ht="14.25" customHeight="1" x14ac:dyDescent="0.3">
      <c r="D389" s="1"/>
      <c r="E389" s="2"/>
      <c r="F389" s="3"/>
    </row>
    <row r="390" spans="4:6" ht="14.25" customHeight="1" x14ac:dyDescent="0.3">
      <c r="D390" s="1"/>
      <c r="E390" s="2"/>
      <c r="F390" s="3"/>
    </row>
    <row r="391" spans="4:6" ht="14.25" customHeight="1" x14ac:dyDescent="0.3">
      <c r="D391" s="1"/>
      <c r="E391" s="2"/>
      <c r="F391" s="3"/>
    </row>
    <row r="392" spans="4:6" ht="14.25" customHeight="1" x14ac:dyDescent="0.3">
      <c r="D392" s="1"/>
      <c r="E392" s="2"/>
      <c r="F392" s="3"/>
    </row>
    <row r="393" spans="4:6" ht="14.25" customHeight="1" x14ac:dyDescent="0.3">
      <c r="D393" s="1"/>
      <c r="E393" s="2"/>
      <c r="F393" s="3"/>
    </row>
    <row r="394" spans="4:6" ht="14.25" customHeight="1" x14ac:dyDescent="0.3">
      <c r="D394" s="1"/>
      <c r="E394" s="2"/>
      <c r="F394" s="3"/>
    </row>
    <row r="395" spans="4:6" ht="14.25" customHeight="1" x14ac:dyDescent="0.3">
      <c r="D395" s="1"/>
      <c r="E395" s="2"/>
      <c r="F395" s="3"/>
    </row>
    <row r="396" spans="4:6" ht="14.25" customHeight="1" x14ac:dyDescent="0.3">
      <c r="D396" s="1"/>
      <c r="E396" s="2"/>
      <c r="F396" s="3"/>
    </row>
    <row r="397" spans="4:6" ht="14.25" customHeight="1" x14ac:dyDescent="0.3">
      <c r="D397" s="1"/>
      <c r="E397" s="2"/>
      <c r="F397" s="3"/>
    </row>
    <row r="398" spans="4:6" ht="14.25" customHeight="1" x14ac:dyDescent="0.3">
      <c r="D398" s="1"/>
      <c r="E398" s="2"/>
      <c r="F398" s="3"/>
    </row>
    <row r="399" spans="4:6" ht="14.25" customHeight="1" x14ac:dyDescent="0.3">
      <c r="D399" s="1"/>
      <c r="E399" s="2"/>
      <c r="F399" s="3"/>
    </row>
    <row r="400" spans="4:6" ht="14.25" customHeight="1" x14ac:dyDescent="0.3">
      <c r="D400" s="1"/>
      <c r="E400" s="2"/>
      <c r="F400" s="3"/>
    </row>
    <row r="401" spans="4:6" ht="14.25" customHeight="1" x14ac:dyDescent="0.3">
      <c r="D401" s="1"/>
      <c r="E401" s="2"/>
      <c r="F401" s="3"/>
    </row>
    <row r="402" spans="4:6" ht="14.25" customHeight="1" x14ac:dyDescent="0.3">
      <c r="D402" s="1"/>
      <c r="E402" s="2"/>
      <c r="F402" s="3"/>
    </row>
    <row r="403" spans="4:6" ht="14.25" customHeight="1" x14ac:dyDescent="0.3">
      <c r="D403" s="1"/>
      <c r="E403" s="2"/>
      <c r="F403" s="3"/>
    </row>
    <row r="404" spans="4:6" ht="14.25" customHeight="1" x14ac:dyDescent="0.3">
      <c r="D404" s="1"/>
      <c r="E404" s="2"/>
      <c r="F404" s="3"/>
    </row>
    <row r="405" spans="4:6" ht="14.25" customHeight="1" x14ac:dyDescent="0.3">
      <c r="D405" s="1"/>
      <c r="E405" s="2"/>
      <c r="F405" s="3"/>
    </row>
    <row r="406" spans="4:6" ht="14.25" customHeight="1" x14ac:dyDescent="0.3">
      <c r="D406" s="1"/>
      <c r="E406" s="2"/>
      <c r="F406" s="3"/>
    </row>
    <row r="407" spans="4:6" ht="14.25" customHeight="1" x14ac:dyDescent="0.3">
      <c r="D407" s="1"/>
      <c r="E407" s="2"/>
      <c r="F407" s="3"/>
    </row>
    <row r="408" spans="4:6" ht="14.25" customHeight="1" x14ac:dyDescent="0.3">
      <c r="D408" s="1"/>
      <c r="E408" s="2"/>
      <c r="F408" s="3"/>
    </row>
    <row r="409" spans="4:6" ht="14.25" customHeight="1" x14ac:dyDescent="0.3">
      <c r="D409" s="1"/>
      <c r="E409" s="2"/>
      <c r="F409" s="3"/>
    </row>
    <row r="410" spans="4:6" ht="14.25" customHeight="1" x14ac:dyDescent="0.3">
      <c r="D410" s="1"/>
      <c r="E410" s="2"/>
      <c r="F410" s="3"/>
    </row>
    <row r="411" spans="4:6" ht="14.25" customHeight="1" x14ac:dyDescent="0.3">
      <c r="D411" s="1"/>
      <c r="E411" s="2"/>
      <c r="F411" s="3"/>
    </row>
    <row r="412" spans="4:6" ht="14.25" customHeight="1" x14ac:dyDescent="0.3">
      <c r="D412" s="1"/>
      <c r="E412" s="2"/>
      <c r="F412" s="3"/>
    </row>
    <row r="413" spans="4:6" ht="14.25" customHeight="1" x14ac:dyDescent="0.3">
      <c r="D413" s="1"/>
      <c r="E413" s="2"/>
      <c r="F413" s="3"/>
    </row>
    <row r="414" spans="4:6" ht="14.25" customHeight="1" x14ac:dyDescent="0.3">
      <c r="D414" s="1"/>
      <c r="E414" s="2"/>
      <c r="F414" s="3"/>
    </row>
    <row r="415" spans="4:6" ht="14.25" customHeight="1" x14ac:dyDescent="0.3">
      <c r="D415" s="1"/>
      <c r="E415" s="2"/>
      <c r="F415" s="3"/>
    </row>
    <row r="416" spans="4:6" ht="14.25" customHeight="1" x14ac:dyDescent="0.3">
      <c r="D416" s="1"/>
      <c r="E416" s="2"/>
      <c r="F416" s="3"/>
    </row>
    <row r="417" spans="4:6" ht="14.25" customHeight="1" x14ac:dyDescent="0.3">
      <c r="D417" s="1"/>
      <c r="E417" s="2"/>
      <c r="F417" s="3"/>
    </row>
    <row r="418" spans="4:6" ht="14.25" customHeight="1" x14ac:dyDescent="0.3">
      <c r="D418" s="1"/>
      <c r="E418" s="2"/>
      <c r="F418" s="3"/>
    </row>
    <row r="419" spans="4:6" ht="14.25" customHeight="1" x14ac:dyDescent="0.3">
      <c r="D419" s="1"/>
      <c r="E419" s="2"/>
      <c r="F419" s="3"/>
    </row>
    <row r="420" spans="4:6" ht="14.25" customHeight="1" x14ac:dyDescent="0.3">
      <c r="D420" s="1"/>
      <c r="E420" s="2"/>
      <c r="F420" s="3"/>
    </row>
    <row r="421" spans="4:6" ht="14.25" customHeight="1" x14ac:dyDescent="0.3">
      <c r="D421" s="1"/>
      <c r="E421" s="2"/>
      <c r="F421" s="3"/>
    </row>
    <row r="422" spans="4:6" ht="14.25" customHeight="1" x14ac:dyDescent="0.3">
      <c r="D422" s="1"/>
      <c r="E422" s="2"/>
      <c r="F422" s="3"/>
    </row>
    <row r="423" spans="4:6" ht="14.25" customHeight="1" x14ac:dyDescent="0.3">
      <c r="D423" s="1"/>
      <c r="E423" s="2"/>
      <c r="F423" s="3"/>
    </row>
    <row r="424" spans="4:6" ht="14.25" customHeight="1" x14ac:dyDescent="0.3">
      <c r="D424" s="1"/>
      <c r="E424" s="2"/>
      <c r="F424" s="3"/>
    </row>
    <row r="425" spans="4:6" ht="14.25" customHeight="1" x14ac:dyDescent="0.3">
      <c r="D425" s="1"/>
      <c r="E425" s="2"/>
      <c r="F425" s="3"/>
    </row>
    <row r="426" spans="4:6" ht="14.25" customHeight="1" x14ac:dyDescent="0.3">
      <c r="D426" s="1"/>
      <c r="E426" s="2"/>
      <c r="F426" s="3"/>
    </row>
    <row r="427" spans="4:6" ht="14.25" customHeight="1" x14ac:dyDescent="0.3">
      <c r="D427" s="1"/>
      <c r="E427" s="2"/>
      <c r="F427" s="3"/>
    </row>
    <row r="428" spans="4:6" ht="14.25" customHeight="1" x14ac:dyDescent="0.3">
      <c r="D428" s="1"/>
      <c r="E428" s="2"/>
      <c r="F428" s="3"/>
    </row>
    <row r="429" spans="4:6" ht="14.25" customHeight="1" x14ac:dyDescent="0.3">
      <c r="D429" s="1"/>
      <c r="E429" s="2"/>
      <c r="F429" s="3"/>
    </row>
    <row r="430" spans="4:6" ht="14.25" customHeight="1" x14ac:dyDescent="0.3">
      <c r="D430" s="1"/>
      <c r="E430" s="2"/>
      <c r="F430" s="3"/>
    </row>
    <row r="431" spans="4:6" ht="14.25" customHeight="1" x14ac:dyDescent="0.3">
      <c r="D431" s="1"/>
      <c r="E431" s="2"/>
      <c r="F431" s="3"/>
    </row>
    <row r="432" spans="4:6" ht="14.25" customHeight="1" x14ac:dyDescent="0.3">
      <c r="D432" s="1"/>
      <c r="E432" s="2"/>
      <c r="F432" s="3"/>
    </row>
    <row r="433" spans="4:6" ht="14.25" customHeight="1" x14ac:dyDescent="0.3">
      <c r="D433" s="1"/>
      <c r="E433" s="2"/>
      <c r="F433" s="3"/>
    </row>
    <row r="434" spans="4:6" ht="14.25" customHeight="1" x14ac:dyDescent="0.3">
      <c r="D434" s="1"/>
      <c r="E434" s="2"/>
      <c r="F434" s="3"/>
    </row>
    <row r="435" spans="4:6" ht="14.25" customHeight="1" x14ac:dyDescent="0.3">
      <c r="D435" s="1"/>
      <c r="E435" s="2"/>
      <c r="F435" s="3"/>
    </row>
    <row r="436" spans="4:6" ht="14.25" customHeight="1" x14ac:dyDescent="0.3">
      <c r="D436" s="1"/>
      <c r="E436" s="2"/>
      <c r="F436" s="3"/>
    </row>
    <row r="437" spans="4:6" ht="14.25" customHeight="1" x14ac:dyDescent="0.3">
      <c r="D437" s="1"/>
      <c r="E437" s="2"/>
      <c r="F437" s="3"/>
    </row>
    <row r="438" spans="4:6" ht="14.25" customHeight="1" x14ac:dyDescent="0.3">
      <c r="D438" s="1"/>
      <c r="E438" s="2"/>
      <c r="F438" s="3"/>
    </row>
    <row r="439" spans="4:6" ht="14.25" customHeight="1" x14ac:dyDescent="0.3">
      <c r="D439" s="1"/>
      <c r="E439" s="2"/>
      <c r="F439" s="3"/>
    </row>
    <row r="440" spans="4:6" ht="14.25" customHeight="1" x14ac:dyDescent="0.3">
      <c r="D440" s="1"/>
      <c r="E440" s="2"/>
      <c r="F440" s="3"/>
    </row>
    <row r="441" spans="4:6" ht="14.25" customHeight="1" x14ac:dyDescent="0.3">
      <c r="D441" s="1"/>
      <c r="E441" s="2"/>
      <c r="F441" s="3"/>
    </row>
    <row r="442" spans="4:6" ht="14.25" customHeight="1" x14ac:dyDescent="0.3">
      <c r="D442" s="1"/>
      <c r="E442" s="2"/>
      <c r="F442" s="3"/>
    </row>
    <row r="443" spans="4:6" ht="14.25" customHeight="1" x14ac:dyDescent="0.3">
      <c r="D443" s="1"/>
      <c r="E443" s="2"/>
      <c r="F443" s="3"/>
    </row>
    <row r="444" spans="4:6" ht="14.25" customHeight="1" x14ac:dyDescent="0.3">
      <c r="D444" s="1"/>
      <c r="E444" s="2"/>
      <c r="F444" s="3"/>
    </row>
    <row r="445" spans="4:6" ht="14.25" customHeight="1" x14ac:dyDescent="0.3">
      <c r="D445" s="1"/>
      <c r="E445" s="2"/>
      <c r="F445" s="3"/>
    </row>
    <row r="446" spans="4:6" ht="14.25" customHeight="1" x14ac:dyDescent="0.3">
      <c r="D446" s="1"/>
      <c r="E446" s="2"/>
      <c r="F446" s="3"/>
    </row>
    <row r="447" spans="4:6" ht="14.25" customHeight="1" x14ac:dyDescent="0.3">
      <c r="D447" s="1"/>
      <c r="E447" s="2"/>
      <c r="F447" s="3"/>
    </row>
    <row r="448" spans="4:6" ht="14.25" customHeight="1" x14ac:dyDescent="0.3">
      <c r="D448" s="1"/>
      <c r="E448" s="2"/>
      <c r="F448" s="3"/>
    </row>
    <row r="449" spans="4:6" ht="14.25" customHeight="1" x14ac:dyDescent="0.3">
      <c r="D449" s="1"/>
      <c r="E449" s="2"/>
      <c r="F449" s="3"/>
    </row>
    <row r="450" spans="4:6" ht="14.25" customHeight="1" x14ac:dyDescent="0.3">
      <c r="D450" s="1"/>
      <c r="E450" s="2"/>
      <c r="F450" s="3"/>
    </row>
    <row r="451" spans="4:6" ht="14.25" customHeight="1" x14ac:dyDescent="0.3">
      <c r="D451" s="1"/>
      <c r="E451" s="2"/>
      <c r="F451" s="3"/>
    </row>
    <row r="452" spans="4:6" ht="14.25" customHeight="1" x14ac:dyDescent="0.3">
      <c r="D452" s="1"/>
      <c r="E452" s="2"/>
      <c r="F452" s="3"/>
    </row>
    <row r="453" spans="4:6" ht="14.25" customHeight="1" x14ac:dyDescent="0.3">
      <c r="D453" s="1"/>
      <c r="E453" s="2"/>
      <c r="F453" s="3"/>
    </row>
    <row r="454" spans="4:6" ht="14.25" customHeight="1" x14ac:dyDescent="0.3">
      <c r="D454" s="1"/>
      <c r="E454" s="2"/>
      <c r="F454" s="3"/>
    </row>
    <row r="455" spans="4:6" ht="14.25" customHeight="1" x14ac:dyDescent="0.3">
      <c r="D455" s="1"/>
      <c r="E455" s="2"/>
      <c r="F455" s="3"/>
    </row>
    <row r="456" spans="4:6" ht="14.25" customHeight="1" x14ac:dyDescent="0.3">
      <c r="D456" s="1"/>
      <c r="E456" s="2"/>
      <c r="F456" s="3"/>
    </row>
    <row r="457" spans="4:6" ht="14.25" customHeight="1" x14ac:dyDescent="0.3">
      <c r="D457" s="1"/>
      <c r="E457" s="2"/>
      <c r="F457" s="3"/>
    </row>
    <row r="458" spans="4:6" ht="14.25" customHeight="1" x14ac:dyDescent="0.3">
      <c r="D458" s="1"/>
      <c r="E458" s="2"/>
      <c r="F458" s="3"/>
    </row>
    <row r="459" spans="4:6" ht="14.25" customHeight="1" x14ac:dyDescent="0.3">
      <c r="D459" s="1"/>
      <c r="E459" s="2"/>
      <c r="F459" s="3"/>
    </row>
    <row r="460" spans="4:6" ht="14.25" customHeight="1" x14ac:dyDescent="0.3">
      <c r="D460" s="1"/>
      <c r="E460" s="2"/>
      <c r="F460" s="3"/>
    </row>
    <row r="461" spans="4:6" ht="14.25" customHeight="1" x14ac:dyDescent="0.3">
      <c r="D461" s="1"/>
      <c r="E461" s="2"/>
      <c r="F461" s="3"/>
    </row>
    <row r="462" spans="4:6" ht="14.25" customHeight="1" x14ac:dyDescent="0.3">
      <c r="D462" s="1"/>
      <c r="E462" s="2"/>
      <c r="F462" s="3"/>
    </row>
    <row r="463" spans="4:6" ht="14.25" customHeight="1" x14ac:dyDescent="0.3">
      <c r="D463" s="1"/>
      <c r="E463" s="2"/>
      <c r="F463" s="3"/>
    </row>
    <row r="464" spans="4:6" ht="14.25" customHeight="1" x14ac:dyDescent="0.3">
      <c r="D464" s="1"/>
      <c r="E464" s="2"/>
      <c r="F464" s="3"/>
    </row>
    <row r="465" spans="4:6" ht="14.25" customHeight="1" x14ac:dyDescent="0.3">
      <c r="D465" s="1"/>
      <c r="E465" s="2"/>
      <c r="F465" s="3"/>
    </row>
    <row r="466" spans="4:6" ht="14.25" customHeight="1" x14ac:dyDescent="0.3">
      <c r="D466" s="1"/>
      <c r="E466" s="2"/>
      <c r="F466" s="3"/>
    </row>
    <row r="467" spans="4:6" ht="14.25" customHeight="1" x14ac:dyDescent="0.3">
      <c r="D467" s="1"/>
      <c r="E467" s="2"/>
      <c r="F467" s="3"/>
    </row>
    <row r="468" spans="4:6" ht="14.25" customHeight="1" x14ac:dyDescent="0.3">
      <c r="D468" s="1"/>
      <c r="E468" s="2"/>
      <c r="F468" s="3"/>
    </row>
    <row r="469" spans="4:6" ht="14.25" customHeight="1" x14ac:dyDescent="0.3">
      <c r="D469" s="1"/>
      <c r="E469" s="2"/>
      <c r="F469" s="3"/>
    </row>
    <row r="470" spans="4:6" ht="14.25" customHeight="1" x14ac:dyDescent="0.3">
      <c r="D470" s="1"/>
      <c r="E470" s="2"/>
      <c r="F470" s="3"/>
    </row>
    <row r="471" spans="4:6" ht="14.25" customHeight="1" x14ac:dyDescent="0.3">
      <c r="D471" s="1"/>
      <c r="E471" s="2"/>
      <c r="F471" s="3"/>
    </row>
    <row r="472" spans="4:6" ht="14.25" customHeight="1" x14ac:dyDescent="0.3">
      <c r="D472" s="1"/>
      <c r="E472" s="2"/>
      <c r="F472" s="3"/>
    </row>
    <row r="473" spans="4:6" ht="14.25" customHeight="1" x14ac:dyDescent="0.3">
      <c r="D473" s="1"/>
      <c r="E473" s="2"/>
      <c r="F473" s="3"/>
    </row>
    <row r="474" spans="4:6" ht="14.25" customHeight="1" x14ac:dyDescent="0.3">
      <c r="D474" s="1"/>
      <c r="E474" s="2"/>
      <c r="F474" s="3"/>
    </row>
    <row r="475" spans="4:6" ht="14.25" customHeight="1" x14ac:dyDescent="0.3">
      <c r="D475" s="1"/>
      <c r="E475" s="2"/>
      <c r="F475" s="3"/>
    </row>
    <row r="476" spans="4:6" ht="14.25" customHeight="1" x14ac:dyDescent="0.3">
      <c r="D476" s="1"/>
      <c r="E476" s="2"/>
      <c r="F476" s="3"/>
    </row>
    <row r="477" spans="4:6" ht="14.25" customHeight="1" x14ac:dyDescent="0.3">
      <c r="D477" s="1"/>
      <c r="E477" s="2"/>
      <c r="F477" s="3"/>
    </row>
    <row r="478" spans="4:6" ht="14.25" customHeight="1" x14ac:dyDescent="0.3">
      <c r="D478" s="1"/>
      <c r="E478" s="2"/>
      <c r="F478" s="3"/>
    </row>
    <row r="479" spans="4:6" ht="14.25" customHeight="1" x14ac:dyDescent="0.3">
      <c r="D479" s="1"/>
      <c r="E479" s="2"/>
      <c r="F479" s="3"/>
    </row>
    <row r="480" spans="4:6" ht="14.25" customHeight="1" x14ac:dyDescent="0.3">
      <c r="D480" s="1"/>
      <c r="E480" s="2"/>
      <c r="F480" s="3"/>
    </row>
    <row r="481" spans="4:6" ht="14.25" customHeight="1" x14ac:dyDescent="0.3">
      <c r="D481" s="1"/>
      <c r="E481" s="2"/>
      <c r="F481" s="3"/>
    </row>
    <row r="482" spans="4:6" ht="14.25" customHeight="1" x14ac:dyDescent="0.3">
      <c r="D482" s="1"/>
      <c r="E482" s="2"/>
      <c r="F482" s="3"/>
    </row>
    <row r="483" spans="4:6" ht="14.25" customHeight="1" x14ac:dyDescent="0.3">
      <c r="D483" s="1"/>
      <c r="E483" s="2"/>
      <c r="F483" s="3"/>
    </row>
    <row r="484" spans="4:6" ht="14.25" customHeight="1" x14ac:dyDescent="0.3">
      <c r="D484" s="1"/>
      <c r="E484" s="2"/>
      <c r="F484" s="3"/>
    </row>
    <row r="485" spans="4:6" ht="14.25" customHeight="1" x14ac:dyDescent="0.3">
      <c r="D485" s="1"/>
      <c r="E485" s="2"/>
      <c r="F485" s="3"/>
    </row>
    <row r="486" spans="4:6" ht="14.25" customHeight="1" x14ac:dyDescent="0.3">
      <c r="D486" s="1"/>
      <c r="E486" s="2"/>
      <c r="F486" s="3"/>
    </row>
    <row r="487" spans="4:6" ht="14.25" customHeight="1" x14ac:dyDescent="0.3">
      <c r="D487" s="1"/>
      <c r="E487" s="2"/>
      <c r="F487" s="3"/>
    </row>
    <row r="488" spans="4:6" ht="14.25" customHeight="1" x14ac:dyDescent="0.3">
      <c r="D488" s="1"/>
      <c r="E488" s="2"/>
      <c r="F488" s="3"/>
    </row>
    <row r="489" spans="4:6" ht="14.25" customHeight="1" x14ac:dyDescent="0.3">
      <c r="D489" s="1"/>
      <c r="E489" s="2"/>
      <c r="F489" s="3"/>
    </row>
    <row r="490" spans="4:6" ht="14.25" customHeight="1" x14ac:dyDescent="0.3">
      <c r="D490" s="1"/>
      <c r="E490" s="2"/>
      <c r="F490" s="3"/>
    </row>
    <row r="491" spans="4:6" ht="14.25" customHeight="1" x14ac:dyDescent="0.3">
      <c r="D491" s="1"/>
      <c r="E491" s="2"/>
      <c r="F491" s="3"/>
    </row>
    <row r="492" spans="4:6" ht="14.25" customHeight="1" x14ac:dyDescent="0.3">
      <c r="D492" s="1"/>
      <c r="E492" s="2"/>
      <c r="F492" s="3"/>
    </row>
    <row r="493" spans="4:6" ht="14.25" customHeight="1" x14ac:dyDescent="0.3">
      <c r="D493" s="1"/>
      <c r="E493" s="2"/>
      <c r="F493" s="3"/>
    </row>
    <row r="494" spans="4:6" ht="14.25" customHeight="1" x14ac:dyDescent="0.3">
      <c r="D494" s="1"/>
      <c r="E494" s="2"/>
      <c r="F494" s="3"/>
    </row>
    <row r="495" spans="4:6" ht="14.25" customHeight="1" x14ac:dyDescent="0.3">
      <c r="D495" s="1"/>
      <c r="E495" s="2"/>
      <c r="F495" s="3"/>
    </row>
    <row r="496" spans="4:6" ht="14.25" customHeight="1" x14ac:dyDescent="0.3">
      <c r="D496" s="1"/>
      <c r="E496" s="2"/>
      <c r="F496" s="3"/>
    </row>
    <row r="497" spans="4:6" ht="14.25" customHeight="1" x14ac:dyDescent="0.3">
      <c r="D497" s="1"/>
      <c r="E497" s="2"/>
      <c r="F497" s="3"/>
    </row>
    <row r="498" spans="4:6" ht="14.25" customHeight="1" x14ac:dyDescent="0.3">
      <c r="D498" s="1"/>
      <c r="E498" s="2"/>
      <c r="F498" s="3"/>
    </row>
    <row r="499" spans="4:6" ht="14.25" customHeight="1" x14ac:dyDescent="0.3">
      <c r="D499" s="1"/>
      <c r="E499" s="2"/>
      <c r="F499" s="3"/>
    </row>
    <row r="500" spans="4:6" ht="14.25" customHeight="1" x14ac:dyDescent="0.3">
      <c r="D500" s="1"/>
      <c r="E500" s="2"/>
      <c r="F500" s="3"/>
    </row>
    <row r="501" spans="4:6" ht="14.25" customHeight="1" x14ac:dyDescent="0.3">
      <c r="D501" s="1"/>
      <c r="E501" s="2"/>
      <c r="F501" s="3"/>
    </row>
    <row r="502" spans="4:6" ht="14.25" customHeight="1" x14ac:dyDescent="0.3">
      <c r="D502" s="1"/>
      <c r="E502" s="2"/>
      <c r="F502" s="3"/>
    </row>
    <row r="503" spans="4:6" ht="14.25" customHeight="1" x14ac:dyDescent="0.3">
      <c r="D503" s="1"/>
      <c r="E503" s="2"/>
      <c r="F503" s="3"/>
    </row>
    <row r="504" spans="4:6" ht="14.25" customHeight="1" x14ac:dyDescent="0.3">
      <c r="D504" s="1"/>
      <c r="E504" s="2"/>
      <c r="F504" s="3"/>
    </row>
    <row r="505" spans="4:6" ht="14.25" customHeight="1" x14ac:dyDescent="0.3">
      <c r="D505" s="1"/>
      <c r="E505" s="2"/>
      <c r="F505" s="3"/>
    </row>
    <row r="506" spans="4:6" ht="14.25" customHeight="1" x14ac:dyDescent="0.3">
      <c r="D506" s="1"/>
      <c r="E506" s="2"/>
      <c r="F506" s="3"/>
    </row>
    <row r="507" spans="4:6" ht="14.25" customHeight="1" x14ac:dyDescent="0.3">
      <c r="D507" s="1"/>
      <c r="E507" s="2"/>
      <c r="F507" s="3"/>
    </row>
    <row r="508" spans="4:6" ht="14.25" customHeight="1" x14ac:dyDescent="0.3">
      <c r="D508" s="1"/>
      <c r="E508" s="2"/>
      <c r="F508" s="3"/>
    </row>
    <row r="509" spans="4:6" ht="14.25" customHeight="1" x14ac:dyDescent="0.3">
      <c r="D509" s="1"/>
      <c r="E509" s="2"/>
      <c r="F509" s="3"/>
    </row>
    <row r="510" spans="4:6" ht="14.25" customHeight="1" x14ac:dyDescent="0.3">
      <c r="D510" s="1"/>
      <c r="E510" s="2"/>
      <c r="F510" s="3"/>
    </row>
    <row r="511" spans="4:6" ht="14.25" customHeight="1" x14ac:dyDescent="0.3">
      <c r="D511" s="1"/>
      <c r="E511" s="2"/>
      <c r="F511" s="3"/>
    </row>
    <row r="512" spans="4:6" ht="14.25" customHeight="1" x14ac:dyDescent="0.3">
      <c r="D512" s="1"/>
      <c r="E512" s="2"/>
      <c r="F512" s="3"/>
    </row>
    <row r="513" spans="4:6" ht="14.25" customHeight="1" x14ac:dyDescent="0.3">
      <c r="D513" s="1"/>
      <c r="E513" s="2"/>
      <c r="F513" s="3"/>
    </row>
    <row r="514" spans="4:6" ht="14.25" customHeight="1" x14ac:dyDescent="0.3">
      <c r="D514" s="1"/>
      <c r="E514" s="2"/>
      <c r="F514" s="3"/>
    </row>
    <row r="515" spans="4:6" ht="14.25" customHeight="1" x14ac:dyDescent="0.3">
      <c r="D515" s="1"/>
      <c r="E515" s="2"/>
      <c r="F515" s="3"/>
    </row>
    <row r="516" spans="4:6" ht="14.25" customHeight="1" x14ac:dyDescent="0.3">
      <c r="D516" s="1"/>
      <c r="E516" s="2"/>
      <c r="F516" s="3"/>
    </row>
    <row r="517" spans="4:6" ht="14.25" customHeight="1" x14ac:dyDescent="0.3">
      <c r="D517" s="1"/>
      <c r="E517" s="2"/>
      <c r="F517" s="3"/>
    </row>
    <row r="518" spans="4:6" ht="14.25" customHeight="1" x14ac:dyDescent="0.3">
      <c r="D518" s="1"/>
      <c r="E518" s="2"/>
      <c r="F518" s="3"/>
    </row>
    <row r="519" spans="4:6" ht="14.25" customHeight="1" x14ac:dyDescent="0.3">
      <c r="D519" s="1"/>
      <c r="E519" s="2"/>
      <c r="F519" s="3"/>
    </row>
    <row r="520" spans="4:6" ht="14.25" customHeight="1" x14ac:dyDescent="0.3">
      <c r="D520" s="1"/>
      <c r="E520" s="2"/>
      <c r="F520" s="3"/>
    </row>
    <row r="521" spans="4:6" ht="14.25" customHeight="1" x14ac:dyDescent="0.3">
      <c r="D521" s="1"/>
      <c r="E521" s="2"/>
      <c r="F521" s="3"/>
    </row>
    <row r="522" spans="4:6" ht="14.25" customHeight="1" x14ac:dyDescent="0.3">
      <c r="D522" s="1"/>
      <c r="E522" s="2"/>
      <c r="F522" s="3"/>
    </row>
    <row r="523" spans="4:6" ht="14.25" customHeight="1" x14ac:dyDescent="0.3">
      <c r="D523" s="1"/>
      <c r="E523" s="2"/>
      <c r="F523" s="3"/>
    </row>
    <row r="524" spans="4:6" ht="14.25" customHeight="1" x14ac:dyDescent="0.3">
      <c r="D524" s="1"/>
      <c r="E524" s="2"/>
      <c r="F524" s="3"/>
    </row>
    <row r="525" spans="4:6" ht="14.25" customHeight="1" x14ac:dyDescent="0.3">
      <c r="D525" s="1"/>
      <c r="E525" s="2"/>
      <c r="F525" s="3"/>
    </row>
    <row r="526" spans="4:6" ht="14.25" customHeight="1" x14ac:dyDescent="0.3">
      <c r="D526" s="1"/>
      <c r="E526" s="2"/>
      <c r="F526" s="3"/>
    </row>
    <row r="527" spans="4:6" ht="14.25" customHeight="1" x14ac:dyDescent="0.3">
      <c r="D527" s="1"/>
      <c r="E527" s="2"/>
      <c r="F527" s="3"/>
    </row>
    <row r="528" spans="4:6" ht="14.25" customHeight="1" x14ac:dyDescent="0.3">
      <c r="D528" s="1"/>
      <c r="E528" s="2"/>
      <c r="F528" s="3"/>
    </row>
    <row r="529" spans="4:6" ht="14.25" customHeight="1" x14ac:dyDescent="0.3">
      <c r="D529" s="1"/>
      <c r="E529" s="2"/>
      <c r="F529" s="3"/>
    </row>
    <row r="530" spans="4:6" ht="14.25" customHeight="1" x14ac:dyDescent="0.3">
      <c r="D530" s="1"/>
      <c r="E530" s="2"/>
      <c r="F530" s="3"/>
    </row>
    <row r="531" spans="4:6" ht="14.25" customHeight="1" x14ac:dyDescent="0.3">
      <c r="D531" s="1"/>
      <c r="E531" s="2"/>
      <c r="F531" s="3"/>
    </row>
    <row r="532" spans="4:6" ht="14.25" customHeight="1" x14ac:dyDescent="0.3">
      <c r="D532" s="1"/>
      <c r="E532" s="2"/>
      <c r="F532" s="3"/>
    </row>
    <row r="533" spans="4:6" ht="14.25" customHeight="1" x14ac:dyDescent="0.3">
      <c r="D533" s="1"/>
      <c r="E533" s="2"/>
      <c r="F533" s="3"/>
    </row>
    <row r="534" spans="4:6" ht="14.25" customHeight="1" x14ac:dyDescent="0.3">
      <c r="D534" s="1"/>
      <c r="E534" s="2"/>
      <c r="F534" s="3"/>
    </row>
    <row r="535" spans="4:6" ht="14.25" customHeight="1" x14ac:dyDescent="0.3">
      <c r="D535" s="1"/>
      <c r="E535" s="2"/>
      <c r="F535" s="3"/>
    </row>
    <row r="536" spans="4:6" ht="14.25" customHeight="1" x14ac:dyDescent="0.3">
      <c r="D536" s="1"/>
      <c r="E536" s="2"/>
      <c r="F536" s="3"/>
    </row>
    <row r="537" spans="4:6" ht="14.25" customHeight="1" x14ac:dyDescent="0.3">
      <c r="D537" s="1"/>
      <c r="E537" s="2"/>
      <c r="F537" s="3"/>
    </row>
    <row r="538" spans="4:6" ht="14.25" customHeight="1" x14ac:dyDescent="0.3">
      <c r="D538" s="1"/>
      <c r="E538" s="2"/>
      <c r="F538" s="3"/>
    </row>
    <row r="539" spans="4:6" ht="14.25" customHeight="1" x14ac:dyDescent="0.3">
      <c r="D539" s="1"/>
      <c r="E539" s="2"/>
      <c r="F539" s="3"/>
    </row>
    <row r="540" spans="4:6" ht="14.25" customHeight="1" x14ac:dyDescent="0.3">
      <c r="D540" s="1"/>
      <c r="E540" s="2"/>
      <c r="F540" s="3"/>
    </row>
    <row r="541" spans="4:6" ht="14.25" customHeight="1" x14ac:dyDescent="0.3">
      <c r="D541" s="1"/>
      <c r="E541" s="2"/>
      <c r="F541" s="3"/>
    </row>
    <row r="542" spans="4:6" ht="14.25" customHeight="1" x14ac:dyDescent="0.3">
      <c r="D542" s="1"/>
      <c r="E542" s="2"/>
      <c r="F542" s="3"/>
    </row>
    <row r="543" spans="4:6" ht="14.25" customHeight="1" x14ac:dyDescent="0.3">
      <c r="D543" s="1"/>
      <c r="E543" s="2"/>
      <c r="F543" s="3"/>
    </row>
    <row r="544" spans="4:6" ht="14.25" customHeight="1" x14ac:dyDescent="0.3">
      <c r="D544" s="1"/>
      <c r="E544" s="2"/>
      <c r="F544" s="3"/>
    </row>
    <row r="545" spans="4:6" ht="14.25" customHeight="1" x14ac:dyDescent="0.3">
      <c r="D545" s="1"/>
      <c r="E545" s="2"/>
      <c r="F545" s="3"/>
    </row>
    <row r="546" spans="4:6" ht="14.25" customHeight="1" x14ac:dyDescent="0.3">
      <c r="D546" s="1"/>
      <c r="E546" s="2"/>
      <c r="F546" s="3"/>
    </row>
    <row r="547" spans="4:6" ht="14.25" customHeight="1" x14ac:dyDescent="0.3">
      <c r="D547" s="1"/>
      <c r="E547" s="2"/>
      <c r="F547" s="3"/>
    </row>
    <row r="548" spans="4:6" ht="14.25" customHeight="1" x14ac:dyDescent="0.3">
      <c r="D548" s="1"/>
      <c r="E548" s="2"/>
      <c r="F548" s="3"/>
    </row>
    <row r="549" spans="4:6" ht="14.25" customHeight="1" x14ac:dyDescent="0.3">
      <c r="D549" s="1"/>
      <c r="E549" s="2"/>
      <c r="F549" s="3"/>
    </row>
    <row r="550" spans="4:6" ht="14.25" customHeight="1" x14ac:dyDescent="0.3">
      <c r="D550" s="1"/>
      <c r="E550" s="2"/>
      <c r="F550" s="3"/>
    </row>
    <row r="551" spans="4:6" ht="14.25" customHeight="1" x14ac:dyDescent="0.3">
      <c r="D551" s="1"/>
      <c r="E551" s="2"/>
      <c r="F551" s="3"/>
    </row>
    <row r="552" spans="4:6" ht="14.25" customHeight="1" x14ac:dyDescent="0.3">
      <c r="D552" s="1"/>
      <c r="E552" s="2"/>
      <c r="F552" s="3"/>
    </row>
    <row r="553" spans="4:6" ht="14.25" customHeight="1" x14ac:dyDescent="0.3">
      <c r="D553" s="1"/>
      <c r="E553" s="2"/>
      <c r="F553" s="3"/>
    </row>
    <row r="554" spans="4:6" ht="14.25" customHeight="1" x14ac:dyDescent="0.3">
      <c r="D554" s="1"/>
      <c r="E554" s="2"/>
      <c r="F554" s="3"/>
    </row>
    <row r="555" spans="4:6" ht="14.25" customHeight="1" x14ac:dyDescent="0.3">
      <c r="D555" s="1"/>
      <c r="E555" s="2"/>
      <c r="F555" s="3"/>
    </row>
    <row r="556" spans="4:6" ht="14.25" customHeight="1" x14ac:dyDescent="0.3">
      <c r="D556" s="1"/>
      <c r="E556" s="2"/>
      <c r="F556" s="3"/>
    </row>
    <row r="557" spans="4:6" ht="14.25" customHeight="1" x14ac:dyDescent="0.3">
      <c r="D557" s="1"/>
      <c r="E557" s="2"/>
      <c r="F557" s="3"/>
    </row>
    <row r="558" spans="4:6" ht="14.25" customHeight="1" x14ac:dyDescent="0.3">
      <c r="D558" s="1"/>
      <c r="E558" s="2"/>
      <c r="F558" s="3"/>
    </row>
    <row r="559" spans="4:6" ht="14.25" customHeight="1" x14ac:dyDescent="0.3">
      <c r="D559" s="1"/>
      <c r="E559" s="2"/>
      <c r="F559" s="3"/>
    </row>
    <row r="560" spans="4:6" ht="14.25" customHeight="1" x14ac:dyDescent="0.3">
      <c r="D560" s="1"/>
      <c r="E560" s="2"/>
      <c r="F560" s="3"/>
    </row>
    <row r="561" spans="4:6" ht="14.25" customHeight="1" x14ac:dyDescent="0.3">
      <c r="D561" s="1"/>
      <c r="E561" s="2"/>
      <c r="F561" s="3"/>
    </row>
    <row r="562" spans="4:6" ht="14.25" customHeight="1" x14ac:dyDescent="0.3">
      <c r="D562" s="1"/>
      <c r="E562" s="2"/>
      <c r="F562" s="3"/>
    </row>
    <row r="563" spans="4:6" ht="14.25" customHeight="1" x14ac:dyDescent="0.3">
      <c r="D563" s="1"/>
      <c r="E563" s="2"/>
      <c r="F563" s="3"/>
    </row>
    <row r="564" spans="4:6" ht="14.25" customHeight="1" x14ac:dyDescent="0.3">
      <c r="D564" s="1"/>
      <c r="E564" s="2"/>
      <c r="F564" s="3"/>
    </row>
    <row r="565" spans="4:6" ht="14.25" customHeight="1" x14ac:dyDescent="0.3">
      <c r="D565" s="1"/>
      <c r="E565" s="2"/>
      <c r="F565" s="3"/>
    </row>
    <row r="566" spans="4:6" ht="14.25" customHeight="1" x14ac:dyDescent="0.3">
      <c r="D566" s="1"/>
      <c r="E566" s="2"/>
      <c r="F566" s="3"/>
    </row>
    <row r="567" spans="4:6" ht="14.25" customHeight="1" x14ac:dyDescent="0.3">
      <c r="D567" s="1"/>
      <c r="E567" s="2"/>
      <c r="F567" s="3"/>
    </row>
    <row r="568" spans="4:6" ht="14.25" customHeight="1" x14ac:dyDescent="0.3">
      <c r="D568" s="1"/>
      <c r="E568" s="2"/>
      <c r="F568" s="3"/>
    </row>
    <row r="569" spans="4:6" ht="14.25" customHeight="1" x14ac:dyDescent="0.3">
      <c r="D569" s="1"/>
      <c r="E569" s="2"/>
      <c r="F569" s="3"/>
    </row>
    <row r="570" spans="4:6" ht="14.25" customHeight="1" x14ac:dyDescent="0.3">
      <c r="D570" s="1"/>
      <c r="E570" s="2"/>
      <c r="F570" s="3"/>
    </row>
    <row r="571" spans="4:6" ht="14.25" customHeight="1" x14ac:dyDescent="0.3">
      <c r="D571" s="1"/>
      <c r="E571" s="2"/>
      <c r="F571" s="3"/>
    </row>
    <row r="572" spans="4:6" ht="14.25" customHeight="1" x14ac:dyDescent="0.3">
      <c r="D572" s="1"/>
      <c r="E572" s="2"/>
      <c r="F572" s="3"/>
    </row>
    <row r="573" spans="4:6" ht="14.25" customHeight="1" x14ac:dyDescent="0.3">
      <c r="D573" s="1"/>
      <c r="E573" s="2"/>
      <c r="F573" s="3"/>
    </row>
    <row r="574" spans="4:6" ht="14.25" customHeight="1" x14ac:dyDescent="0.3">
      <c r="D574" s="1"/>
      <c r="E574" s="2"/>
      <c r="F574" s="3"/>
    </row>
    <row r="575" spans="4:6" ht="14.25" customHeight="1" x14ac:dyDescent="0.3">
      <c r="D575" s="1"/>
      <c r="E575" s="2"/>
      <c r="F575" s="3"/>
    </row>
    <row r="576" spans="4:6" ht="14.25" customHeight="1" x14ac:dyDescent="0.3">
      <c r="D576" s="1"/>
      <c r="E576" s="2"/>
      <c r="F576" s="3"/>
    </row>
    <row r="577" spans="4:6" ht="14.25" customHeight="1" x14ac:dyDescent="0.3">
      <c r="D577" s="1"/>
      <c r="E577" s="2"/>
      <c r="F577" s="3"/>
    </row>
    <row r="578" spans="4:6" ht="14.25" customHeight="1" x14ac:dyDescent="0.3">
      <c r="D578" s="1"/>
      <c r="E578" s="2"/>
      <c r="F578" s="3"/>
    </row>
    <row r="579" spans="4:6" ht="14.25" customHeight="1" x14ac:dyDescent="0.3">
      <c r="D579" s="1"/>
      <c r="E579" s="2"/>
      <c r="F579" s="3"/>
    </row>
    <row r="580" spans="4:6" ht="14.25" customHeight="1" x14ac:dyDescent="0.3">
      <c r="D580" s="1"/>
      <c r="E580" s="2"/>
      <c r="F580" s="3"/>
    </row>
    <row r="581" spans="4:6" ht="14.25" customHeight="1" x14ac:dyDescent="0.3">
      <c r="D581" s="1"/>
      <c r="E581" s="2"/>
      <c r="F581" s="3"/>
    </row>
    <row r="582" spans="4:6" ht="14.25" customHeight="1" x14ac:dyDescent="0.3">
      <c r="D582" s="1"/>
      <c r="E582" s="2"/>
      <c r="F582" s="3"/>
    </row>
    <row r="583" spans="4:6" ht="14.25" customHeight="1" x14ac:dyDescent="0.3">
      <c r="D583" s="1"/>
      <c r="E583" s="2"/>
      <c r="F583" s="3"/>
    </row>
    <row r="584" spans="4:6" ht="14.25" customHeight="1" x14ac:dyDescent="0.3">
      <c r="D584" s="1"/>
      <c r="E584" s="2"/>
      <c r="F584" s="3"/>
    </row>
    <row r="585" spans="4:6" ht="14.25" customHeight="1" x14ac:dyDescent="0.3">
      <c r="D585" s="1"/>
      <c r="E585" s="2"/>
      <c r="F585" s="3"/>
    </row>
    <row r="586" spans="4:6" ht="14.25" customHeight="1" x14ac:dyDescent="0.3">
      <c r="D586" s="1"/>
      <c r="E586" s="2"/>
      <c r="F586" s="3"/>
    </row>
    <row r="587" spans="4:6" ht="14.25" customHeight="1" x14ac:dyDescent="0.3">
      <c r="D587" s="1"/>
      <c r="E587" s="2"/>
      <c r="F587" s="3"/>
    </row>
    <row r="588" spans="4:6" ht="14.25" customHeight="1" x14ac:dyDescent="0.3">
      <c r="D588" s="1"/>
      <c r="E588" s="2"/>
      <c r="F588" s="3"/>
    </row>
    <row r="589" spans="4:6" ht="14.25" customHeight="1" x14ac:dyDescent="0.3">
      <c r="D589" s="1"/>
      <c r="E589" s="2"/>
      <c r="F589" s="3"/>
    </row>
    <row r="590" spans="4:6" ht="14.25" customHeight="1" x14ac:dyDescent="0.3">
      <c r="D590" s="1"/>
      <c r="E590" s="2"/>
      <c r="F590" s="3"/>
    </row>
    <row r="591" spans="4:6" ht="14.25" customHeight="1" x14ac:dyDescent="0.3">
      <c r="D591" s="1"/>
      <c r="E591" s="2"/>
      <c r="F591" s="3"/>
    </row>
    <row r="592" spans="4:6" ht="14.25" customHeight="1" x14ac:dyDescent="0.3">
      <c r="D592" s="1"/>
      <c r="E592" s="2"/>
      <c r="F592" s="3"/>
    </row>
    <row r="593" spans="4:6" ht="14.25" customHeight="1" x14ac:dyDescent="0.3">
      <c r="D593" s="1"/>
      <c r="E593" s="2"/>
      <c r="F593" s="3"/>
    </row>
    <row r="594" spans="4:6" ht="14.25" customHeight="1" x14ac:dyDescent="0.3">
      <c r="D594" s="1"/>
      <c r="E594" s="2"/>
      <c r="F594" s="3"/>
    </row>
    <row r="595" spans="4:6" ht="14.25" customHeight="1" x14ac:dyDescent="0.3">
      <c r="D595" s="1"/>
      <c r="E595" s="2"/>
      <c r="F595" s="3"/>
    </row>
    <row r="596" spans="4:6" ht="14.25" customHeight="1" x14ac:dyDescent="0.3">
      <c r="D596" s="1"/>
      <c r="E596" s="2"/>
      <c r="F596" s="3"/>
    </row>
    <row r="597" spans="4:6" ht="14.25" customHeight="1" x14ac:dyDescent="0.3">
      <c r="D597" s="1"/>
      <c r="E597" s="2"/>
      <c r="F597" s="3"/>
    </row>
    <row r="598" spans="4:6" ht="14.25" customHeight="1" x14ac:dyDescent="0.3">
      <c r="D598" s="1"/>
      <c r="E598" s="2"/>
      <c r="F598" s="3"/>
    </row>
    <row r="599" spans="4:6" ht="14.25" customHeight="1" x14ac:dyDescent="0.3">
      <c r="D599" s="1"/>
      <c r="E599" s="2"/>
      <c r="F599" s="3"/>
    </row>
    <row r="600" spans="4:6" ht="14.25" customHeight="1" x14ac:dyDescent="0.3">
      <c r="D600" s="1"/>
      <c r="E600" s="2"/>
      <c r="F600" s="3"/>
    </row>
    <row r="601" spans="4:6" ht="14.25" customHeight="1" x14ac:dyDescent="0.3">
      <c r="D601" s="1"/>
      <c r="E601" s="2"/>
      <c r="F601" s="3"/>
    </row>
    <row r="602" spans="4:6" ht="14.25" customHeight="1" x14ac:dyDescent="0.3">
      <c r="D602" s="1"/>
      <c r="E602" s="2"/>
      <c r="F602" s="3"/>
    </row>
    <row r="603" spans="4:6" ht="14.25" customHeight="1" x14ac:dyDescent="0.3">
      <c r="D603" s="1"/>
      <c r="E603" s="2"/>
      <c r="F603" s="3"/>
    </row>
    <row r="604" spans="4:6" ht="14.25" customHeight="1" x14ac:dyDescent="0.3">
      <c r="D604" s="1"/>
      <c r="E604" s="2"/>
      <c r="F604" s="3"/>
    </row>
    <row r="605" spans="4:6" ht="14.25" customHeight="1" x14ac:dyDescent="0.3">
      <c r="D605" s="1"/>
      <c r="E605" s="2"/>
      <c r="F605" s="3"/>
    </row>
    <row r="606" spans="4:6" ht="14.25" customHeight="1" x14ac:dyDescent="0.3">
      <c r="D606" s="1"/>
      <c r="E606" s="2"/>
      <c r="F606" s="3"/>
    </row>
    <row r="607" spans="4:6" ht="14.25" customHeight="1" x14ac:dyDescent="0.3">
      <c r="D607" s="1"/>
      <c r="E607" s="2"/>
      <c r="F607" s="3"/>
    </row>
    <row r="608" spans="4:6" ht="14.25" customHeight="1" x14ac:dyDescent="0.3">
      <c r="D608" s="1"/>
      <c r="E608" s="2"/>
      <c r="F608" s="3"/>
    </row>
    <row r="609" spans="4:6" ht="14.25" customHeight="1" x14ac:dyDescent="0.3">
      <c r="D609" s="1"/>
      <c r="E609" s="2"/>
      <c r="F609" s="3"/>
    </row>
    <row r="610" spans="4:6" ht="14.25" customHeight="1" x14ac:dyDescent="0.3">
      <c r="D610" s="1"/>
      <c r="E610" s="2"/>
      <c r="F610" s="3"/>
    </row>
    <row r="611" spans="4:6" ht="14.25" customHeight="1" x14ac:dyDescent="0.3">
      <c r="D611" s="1"/>
      <c r="E611" s="2"/>
      <c r="F611" s="3"/>
    </row>
    <row r="612" spans="4:6" ht="14.25" customHeight="1" x14ac:dyDescent="0.3">
      <c r="D612" s="1"/>
      <c r="E612" s="2"/>
      <c r="F612" s="3"/>
    </row>
    <row r="613" spans="4:6" ht="14.25" customHeight="1" x14ac:dyDescent="0.3">
      <c r="D613" s="1"/>
      <c r="E613" s="2"/>
      <c r="F613" s="3"/>
    </row>
    <row r="614" spans="4:6" ht="14.25" customHeight="1" x14ac:dyDescent="0.3">
      <c r="D614" s="1"/>
      <c r="E614" s="2"/>
      <c r="F614" s="3"/>
    </row>
    <row r="615" spans="4:6" ht="14.25" customHeight="1" x14ac:dyDescent="0.3">
      <c r="D615" s="1"/>
      <c r="E615" s="2"/>
      <c r="F615" s="3"/>
    </row>
    <row r="616" spans="4:6" ht="14.25" customHeight="1" x14ac:dyDescent="0.3">
      <c r="D616" s="1"/>
      <c r="E616" s="2"/>
      <c r="F616" s="3"/>
    </row>
    <row r="617" spans="4:6" ht="14.25" customHeight="1" x14ac:dyDescent="0.3">
      <c r="D617" s="1"/>
      <c r="E617" s="2"/>
      <c r="F617" s="3"/>
    </row>
    <row r="618" spans="4:6" ht="14.25" customHeight="1" x14ac:dyDescent="0.3">
      <c r="D618" s="1"/>
      <c r="E618" s="2"/>
      <c r="F618" s="3"/>
    </row>
    <row r="619" spans="4:6" ht="14.25" customHeight="1" x14ac:dyDescent="0.3">
      <c r="D619" s="1"/>
      <c r="E619" s="2"/>
      <c r="F619" s="3"/>
    </row>
    <row r="620" spans="4:6" ht="14.25" customHeight="1" x14ac:dyDescent="0.3">
      <c r="D620" s="1"/>
      <c r="E620" s="2"/>
      <c r="F620" s="3"/>
    </row>
    <row r="621" spans="4:6" ht="14.25" customHeight="1" x14ac:dyDescent="0.3">
      <c r="D621" s="1"/>
      <c r="E621" s="2"/>
      <c r="F621" s="3"/>
    </row>
    <row r="622" spans="4:6" ht="14.25" customHeight="1" x14ac:dyDescent="0.3">
      <c r="D622" s="1"/>
      <c r="E622" s="2"/>
      <c r="F622" s="3"/>
    </row>
    <row r="623" spans="4:6" ht="14.25" customHeight="1" x14ac:dyDescent="0.3">
      <c r="D623" s="1"/>
      <c r="E623" s="2"/>
      <c r="F623" s="3"/>
    </row>
    <row r="624" spans="4:6" ht="14.25" customHeight="1" x14ac:dyDescent="0.3">
      <c r="D624" s="1"/>
      <c r="E624" s="2"/>
      <c r="F624" s="3"/>
    </row>
    <row r="625" spans="4:6" ht="14.25" customHeight="1" x14ac:dyDescent="0.3">
      <c r="D625" s="1"/>
      <c r="E625" s="2"/>
      <c r="F625" s="3"/>
    </row>
    <row r="626" spans="4:6" ht="14.25" customHeight="1" x14ac:dyDescent="0.3">
      <c r="D626" s="1"/>
      <c r="E626" s="2"/>
      <c r="F626" s="3"/>
    </row>
    <row r="627" spans="4:6" ht="14.25" customHeight="1" x14ac:dyDescent="0.3">
      <c r="D627" s="1"/>
      <c r="E627" s="2"/>
      <c r="F627" s="3"/>
    </row>
    <row r="628" spans="4:6" ht="14.25" customHeight="1" x14ac:dyDescent="0.3">
      <c r="D628" s="1"/>
      <c r="E628" s="2"/>
      <c r="F628" s="3"/>
    </row>
    <row r="629" spans="4:6" ht="14.25" customHeight="1" x14ac:dyDescent="0.3">
      <c r="D629" s="1"/>
      <c r="E629" s="2"/>
      <c r="F629" s="3"/>
    </row>
    <row r="630" spans="4:6" ht="14.25" customHeight="1" x14ac:dyDescent="0.3">
      <c r="D630" s="1"/>
      <c r="E630" s="2"/>
      <c r="F630" s="3"/>
    </row>
    <row r="631" spans="4:6" ht="14.25" customHeight="1" x14ac:dyDescent="0.3">
      <c r="D631" s="1"/>
      <c r="E631" s="2"/>
      <c r="F631" s="3"/>
    </row>
    <row r="632" spans="4:6" ht="14.25" customHeight="1" x14ac:dyDescent="0.3">
      <c r="D632" s="1"/>
      <c r="E632" s="2"/>
      <c r="F632" s="3"/>
    </row>
    <row r="633" spans="4:6" ht="14.25" customHeight="1" x14ac:dyDescent="0.3">
      <c r="D633" s="1"/>
      <c r="E633" s="2"/>
      <c r="F633" s="3"/>
    </row>
    <row r="634" spans="4:6" ht="14.25" customHeight="1" x14ac:dyDescent="0.3">
      <c r="D634" s="1"/>
      <c r="E634" s="2"/>
      <c r="F634" s="3"/>
    </row>
    <row r="635" spans="4:6" ht="14.25" customHeight="1" x14ac:dyDescent="0.3">
      <c r="D635" s="1"/>
      <c r="E635" s="2"/>
      <c r="F635" s="3"/>
    </row>
    <row r="636" spans="4:6" ht="14.25" customHeight="1" x14ac:dyDescent="0.3">
      <c r="D636" s="1"/>
      <c r="E636" s="2"/>
      <c r="F636" s="3"/>
    </row>
    <row r="637" spans="4:6" ht="14.25" customHeight="1" x14ac:dyDescent="0.3">
      <c r="D637" s="1"/>
      <c r="E637" s="2"/>
      <c r="F637" s="3"/>
    </row>
    <row r="638" spans="4:6" ht="14.25" customHeight="1" x14ac:dyDescent="0.3">
      <c r="D638" s="1"/>
      <c r="E638" s="2"/>
      <c r="F638" s="3"/>
    </row>
    <row r="639" spans="4:6" ht="14.25" customHeight="1" x14ac:dyDescent="0.3">
      <c r="D639" s="1"/>
      <c r="E639" s="2"/>
      <c r="F639" s="3"/>
    </row>
    <row r="640" spans="4:6" ht="14.25" customHeight="1" x14ac:dyDescent="0.3">
      <c r="D640" s="1"/>
      <c r="E640" s="2"/>
      <c r="F640" s="3"/>
    </row>
    <row r="641" spans="4:6" ht="14.25" customHeight="1" x14ac:dyDescent="0.3">
      <c r="D641" s="1"/>
      <c r="E641" s="2"/>
      <c r="F641" s="3"/>
    </row>
    <row r="642" spans="4:6" ht="14.25" customHeight="1" x14ac:dyDescent="0.3">
      <c r="D642" s="1"/>
      <c r="E642" s="2"/>
      <c r="F642" s="3"/>
    </row>
    <row r="643" spans="4:6" ht="14.25" customHeight="1" x14ac:dyDescent="0.3">
      <c r="D643" s="1"/>
      <c r="E643" s="2"/>
      <c r="F643" s="3"/>
    </row>
    <row r="644" spans="4:6" ht="14.25" customHeight="1" x14ac:dyDescent="0.3">
      <c r="D644" s="1"/>
      <c r="E644" s="2"/>
      <c r="F644" s="3"/>
    </row>
    <row r="645" spans="4:6" ht="14.25" customHeight="1" x14ac:dyDescent="0.3">
      <c r="D645" s="1"/>
      <c r="E645" s="2"/>
      <c r="F645" s="3"/>
    </row>
    <row r="646" spans="4:6" ht="14.25" customHeight="1" x14ac:dyDescent="0.3">
      <c r="D646" s="1"/>
      <c r="E646" s="2"/>
      <c r="F646" s="3"/>
    </row>
    <row r="647" spans="4:6" ht="14.25" customHeight="1" x14ac:dyDescent="0.3">
      <c r="D647" s="1"/>
      <c r="E647" s="2"/>
      <c r="F647" s="3"/>
    </row>
    <row r="648" spans="4:6" ht="14.25" customHeight="1" x14ac:dyDescent="0.3">
      <c r="D648" s="1"/>
      <c r="E648" s="2"/>
      <c r="F648" s="3"/>
    </row>
    <row r="649" spans="4:6" ht="14.25" customHeight="1" x14ac:dyDescent="0.3">
      <c r="D649" s="1"/>
      <c r="E649" s="2"/>
      <c r="F649" s="3"/>
    </row>
    <row r="650" spans="4:6" ht="14.25" customHeight="1" x14ac:dyDescent="0.3">
      <c r="D650" s="1"/>
      <c r="E650" s="2"/>
      <c r="F650" s="3"/>
    </row>
    <row r="651" spans="4:6" ht="14.25" customHeight="1" x14ac:dyDescent="0.3">
      <c r="D651" s="1"/>
      <c r="E651" s="2"/>
      <c r="F651" s="3"/>
    </row>
    <row r="652" spans="4:6" ht="14.25" customHeight="1" x14ac:dyDescent="0.3">
      <c r="D652" s="1"/>
      <c r="E652" s="2"/>
      <c r="F652" s="3"/>
    </row>
    <row r="653" spans="4:6" ht="14.25" customHeight="1" x14ac:dyDescent="0.3">
      <c r="D653" s="1"/>
      <c r="E653" s="2"/>
      <c r="F653" s="3"/>
    </row>
    <row r="654" spans="4:6" ht="14.25" customHeight="1" x14ac:dyDescent="0.3">
      <c r="D654" s="1"/>
      <c r="E654" s="2"/>
      <c r="F654" s="3"/>
    </row>
    <row r="655" spans="4:6" ht="14.25" customHeight="1" x14ac:dyDescent="0.3">
      <c r="D655" s="1"/>
      <c r="E655" s="2"/>
      <c r="F655" s="3"/>
    </row>
    <row r="656" spans="4:6" ht="14.25" customHeight="1" x14ac:dyDescent="0.3">
      <c r="D656" s="1"/>
      <c r="E656" s="2"/>
      <c r="F656" s="3"/>
    </row>
    <row r="657" spans="4:6" ht="14.25" customHeight="1" x14ac:dyDescent="0.3">
      <c r="D657" s="1"/>
      <c r="E657" s="2"/>
      <c r="F657" s="3"/>
    </row>
    <row r="658" spans="4:6" ht="14.25" customHeight="1" x14ac:dyDescent="0.3">
      <c r="D658" s="1"/>
      <c r="E658" s="2"/>
      <c r="F658" s="3"/>
    </row>
    <row r="659" spans="4:6" ht="14.25" customHeight="1" x14ac:dyDescent="0.3">
      <c r="D659" s="1"/>
      <c r="E659" s="2"/>
      <c r="F659" s="3"/>
    </row>
    <row r="660" spans="4:6" ht="14.25" customHeight="1" x14ac:dyDescent="0.3">
      <c r="D660" s="1"/>
      <c r="E660" s="2"/>
      <c r="F660" s="3"/>
    </row>
    <row r="661" spans="4:6" ht="14.25" customHeight="1" x14ac:dyDescent="0.3">
      <c r="D661" s="1"/>
      <c r="E661" s="2"/>
      <c r="F661" s="3"/>
    </row>
    <row r="662" spans="4:6" ht="14.25" customHeight="1" x14ac:dyDescent="0.3">
      <c r="D662" s="1"/>
      <c r="E662" s="2"/>
      <c r="F662" s="3"/>
    </row>
    <row r="663" spans="4:6" ht="14.25" customHeight="1" x14ac:dyDescent="0.3">
      <c r="D663" s="1"/>
      <c r="E663" s="2"/>
      <c r="F663" s="3"/>
    </row>
    <row r="664" spans="4:6" ht="14.25" customHeight="1" x14ac:dyDescent="0.3">
      <c r="D664" s="1"/>
      <c r="E664" s="2"/>
      <c r="F664" s="3"/>
    </row>
    <row r="665" spans="4:6" ht="14.25" customHeight="1" x14ac:dyDescent="0.3">
      <c r="D665" s="1"/>
      <c r="E665" s="2"/>
      <c r="F665" s="3"/>
    </row>
    <row r="666" spans="4:6" ht="14.25" customHeight="1" x14ac:dyDescent="0.3">
      <c r="D666" s="1"/>
      <c r="E666" s="2"/>
      <c r="F666" s="3"/>
    </row>
    <row r="667" spans="4:6" ht="14.25" customHeight="1" x14ac:dyDescent="0.3">
      <c r="D667" s="1"/>
      <c r="E667" s="2"/>
      <c r="F667" s="3"/>
    </row>
    <row r="668" spans="4:6" ht="14.25" customHeight="1" x14ac:dyDescent="0.3">
      <c r="D668" s="1"/>
      <c r="E668" s="2"/>
      <c r="F668" s="3"/>
    </row>
    <row r="669" spans="4:6" ht="14.25" customHeight="1" x14ac:dyDescent="0.3">
      <c r="D669" s="1"/>
      <c r="E669" s="2"/>
      <c r="F669" s="3"/>
    </row>
    <row r="670" spans="4:6" ht="14.25" customHeight="1" x14ac:dyDescent="0.3">
      <c r="D670" s="1"/>
      <c r="E670" s="2"/>
      <c r="F670" s="3"/>
    </row>
    <row r="671" spans="4:6" ht="14.25" customHeight="1" x14ac:dyDescent="0.3">
      <c r="D671" s="1"/>
      <c r="E671" s="2"/>
      <c r="F671" s="3"/>
    </row>
    <row r="672" spans="4:6" ht="14.25" customHeight="1" x14ac:dyDescent="0.3">
      <c r="D672" s="1"/>
      <c r="E672" s="2"/>
      <c r="F672" s="3"/>
    </row>
    <row r="673" spans="4:6" ht="14.25" customHeight="1" x14ac:dyDescent="0.3">
      <c r="D673" s="1"/>
      <c r="E673" s="2"/>
      <c r="F673" s="3"/>
    </row>
    <row r="674" spans="4:6" ht="14.25" customHeight="1" x14ac:dyDescent="0.3">
      <c r="D674" s="1"/>
      <c r="E674" s="2"/>
      <c r="F674" s="3"/>
    </row>
    <row r="675" spans="4:6" ht="14.25" customHeight="1" x14ac:dyDescent="0.3">
      <c r="D675" s="1"/>
      <c r="E675" s="2"/>
      <c r="F675" s="3"/>
    </row>
    <row r="676" spans="4:6" ht="14.25" customHeight="1" x14ac:dyDescent="0.3">
      <c r="D676" s="1"/>
      <c r="E676" s="2"/>
      <c r="F676" s="3"/>
    </row>
    <row r="677" spans="4:6" ht="14.25" customHeight="1" x14ac:dyDescent="0.3">
      <c r="D677" s="1"/>
      <c r="E677" s="2"/>
      <c r="F677" s="3"/>
    </row>
    <row r="678" spans="4:6" ht="14.25" customHeight="1" x14ac:dyDescent="0.3">
      <c r="D678" s="1"/>
      <c r="E678" s="2"/>
      <c r="F678" s="3"/>
    </row>
    <row r="679" spans="4:6" ht="14.25" customHeight="1" x14ac:dyDescent="0.3">
      <c r="D679" s="1"/>
      <c r="E679" s="2"/>
      <c r="F679" s="3"/>
    </row>
    <row r="680" spans="4:6" ht="14.25" customHeight="1" x14ac:dyDescent="0.3">
      <c r="D680" s="1"/>
      <c r="E680" s="2"/>
      <c r="F680" s="3"/>
    </row>
    <row r="681" spans="4:6" ht="14.25" customHeight="1" x14ac:dyDescent="0.3">
      <c r="D681" s="1"/>
      <c r="E681" s="2"/>
      <c r="F681" s="3"/>
    </row>
    <row r="682" spans="4:6" ht="14.25" customHeight="1" x14ac:dyDescent="0.3">
      <c r="D682" s="1"/>
      <c r="E682" s="2"/>
      <c r="F682" s="3"/>
    </row>
    <row r="683" spans="4:6" ht="14.25" customHeight="1" x14ac:dyDescent="0.3">
      <c r="D683" s="1"/>
      <c r="E683" s="2"/>
      <c r="F683" s="3"/>
    </row>
    <row r="684" spans="4:6" ht="14.25" customHeight="1" x14ac:dyDescent="0.3">
      <c r="D684" s="1"/>
      <c r="E684" s="2"/>
      <c r="F684" s="3"/>
    </row>
    <row r="685" spans="4:6" ht="14.25" customHeight="1" x14ac:dyDescent="0.3">
      <c r="D685" s="1"/>
      <c r="E685" s="2"/>
      <c r="F685" s="3"/>
    </row>
    <row r="686" spans="4:6" ht="14.25" customHeight="1" x14ac:dyDescent="0.3">
      <c r="D686" s="1"/>
      <c r="E686" s="2"/>
      <c r="F686" s="3"/>
    </row>
    <row r="687" spans="4:6" ht="14.25" customHeight="1" x14ac:dyDescent="0.3">
      <c r="D687" s="1"/>
      <c r="E687" s="2"/>
      <c r="F687" s="3"/>
    </row>
    <row r="688" spans="4:6" ht="14.25" customHeight="1" x14ac:dyDescent="0.3">
      <c r="D688" s="1"/>
      <c r="E688" s="2"/>
      <c r="F688" s="3"/>
    </row>
    <row r="689" spans="4:6" ht="14.25" customHeight="1" x14ac:dyDescent="0.3">
      <c r="D689" s="1"/>
      <c r="E689" s="2"/>
      <c r="F689" s="3"/>
    </row>
    <row r="690" spans="4:6" ht="14.25" customHeight="1" x14ac:dyDescent="0.3">
      <c r="D690" s="1"/>
      <c r="E690" s="2"/>
      <c r="F690" s="3"/>
    </row>
    <row r="691" spans="4:6" ht="14.25" customHeight="1" x14ac:dyDescent="0.3">
      <c r="D691" s="1"/>
      <c r="E691" s="2"/>
      <c r="F691" s="3"/>
    </row>
    <row r="692" spans="4:6" ht="14.25" customHeight="1" x14ac:dyDescent="0.3">
      <c r="D692" s="1"/>
      <c r="E692" s="2"/>
      <c r="F692" s="3"/>
    </row>
    <row r="693" spans="4:6" ht="14.25" customHeight="1" x14ac:dyDescent="0.3">
      <c r="D693" s="1"/>
      <c r="E693" s="2"/>
      <c r="F693" s="3"/>
    </row>
    <row r="694" spans="4:6" ht="14.25" customHeight="1" x14ac:dyDescent="0.3">
      <c r="D694" s="1"/>
      <c r="E694" s="2"/>
      <c r="F694" s="3"/>
    </row>
    <row r="695" spans="4:6" ht="14.25" customHeight="1" x14ac:dyDescent="0.3">
      <c r="D695" s="1"/>
      <c r="E695" s="2"/>
      <c r="F695" s="3"/>
    </row>
    <row r="696" spans="4:6" ht="14.25" customHeight="1" x14ac:dyDescent="0.3">
      <c r="D696" s="1"/>
      <c r="E696" s="2"/>
      <c r="F696" s="3"/>
    </row>
    <row r="697" spans="4:6" ht="14.25" customHeight="1" x14ac:dyDescent="0.3">
      <c r="D697" s="1"/>
      <c r="E697" s="2"/>
      <c r="F697" s="3"/>
    </row>
    <row r="698" spans="4:6" ht="14.25" customHeight="1" x14ac:dyDescent="0.3">
      <c r="D698" s="1"/>
      <c r="E698" s="2"/>
      <c r="F698" s="3"/>
    </row>
    <row r="699" spans="4:6" ht="14.25" customHeight="1" x14ac:dyDescent="0.3">
      <c r="D699" s="1"/>
      <c r="E699" s="2"/>
      <c r="F699" s="3"/>
    </row>
    <row r="700" spans="4:6" ht="14.25" customHeight="1" x14ac:dyDescent="0.3">
      <c r="D700" s="1"/>
      <c r="E700" s="2"/>
      <c r="F700" s="3"/>
    </row>
    <row r="701" spans="4:6" ht="14.25" customHeight="1" x14ac:dyDescent="0.3">
      <c r="D701" s="1"/>
      <c r="E701" s="2"/>
      <c r="F701" s="3"/>
    </row>
    <row r="702" spans="4:6" ht="14.25" customHeight="1" x14ac:dyDescent="0.3">
      <c r="D702" s="1"/>
      <c r="E702" s="2"/>
      <c r="F702" s="3"/>
    </row>
    <row r="703" spans="4:6" ht="14.25" customHeight="1" x14ac:dyDescent="0.3">
      <c r="D703" s="1"/>
      <c r="E703" s="2"/>
      <c r="F703" s="3"/>
    </row>
    <row r="704" spans="4:6" ht="14.25" customHeight="1" x14ac:dyDescent="0.3">
      <c r="D704" s="1"/>
      <c r="E704" s="2"/>
      <c r="F704" s="3"/>
    </row>
    <row r="705" spans="4:6" ht="14.25" customHeight="1" x14ac:dyDescent="0.3">
      <c r="D705" s="1"/>
      <c r="E705" s="2"/>
      <c r="F705" s="3"/>
    </row>
    <row r="706" spans="4:6" ht="14.25" customHeight="1" x14ac:dyDescent="0.3">
      <c r="D706" s="1"/>
      <c r="E706" s="2"/>
      <c r="F706" s="3"/>
    </row>
    <row r="707" spans="4:6" ht="14.25" customHeight="1" x14ac:dyDescent="0.3">
      <c r="D707" s="1"/>
      <c r="E707" s="2"/>
      <c r="F707" s="3"/>
    </row>
    <row r="708" spans="4:6" ht="14.25" customHeight="1" x14ac:dyDescent="0.3">
      <c r="D708" s="1"/>
      <c r="E708" s="2"/>
      <c r="F708" s="3"/>
    </row>
    <row r="709" spans="4:6" ht="14.25" customHeight="1" x14ac:dyDescent="0.3">
      <c r="D709" s="1"/>
      <c r="E709" s="2"/>
      <c r="F709" s="3"/>
    </row>
    <row r="710" spans="4:6" ht="14.25" customHeight="1" x14ac:dyDescent="0.3">
      <c r="D710" s="1"/>
      <c r="E710" s="2"/>
      <c r="F710" s="3"/>
    </row>
    <row r="711" spans="4:6" ht="14.25" customHeight="1" x14ac:dyDescent="0.3">
      <c r="D711" s="1"/>
      <c r="E711" s="2"/>
      <c r="F711" s="3"/>
    </row>
    <row r="712" spans="4:6" ht="14.25" customHeight="1" x14ac:dyDescent="0.3">
      <c r="D712" s="1"/>
      <c r="E712" s="2"/>
      <c r="F712" s="3"/>
    </row>
    <row r="713" spans="4:6" ht="14.25" customHeight="1" x14ac:dyDescent="0.3">
      <c r="D713" s="1"/>
      <c r="E713" s="2"/>
      <c r="F713" s="3"/>
    </row>
    <row r="714" spans="4:6" ht="14.25" customHeight="1" x14ac:dyDescent="0.3">
      <c r="D714" s="1"/>
      <c r="E714" s="2"/>
      <c r="F714" s="3"/>
    </row>
    <row r="715" spans="4:6" ht="14.25" customHeight="1" x14ac:dyDescent="0.3">
      <c r="D715" s="1"/>
      <c r="E715" s="2"/>
      <c r="F715" s="3"/>
    </row>
    <row r="716" spans="4:6" ht="14.25" customHeight="1" x14ac:dyDescent="0.3">
      <c r="D716" s="1"/>
      <c r="E716" s="2"/>
      <c r="F716" s="3"/>
    </row>
    <row r="717" spans="4:6" ht="14.25" customHeight="1" x14ac:dyDescent="0.3">
      <c r="D717" s="1"/>
      <c r="E717" s="2"/>
      <c r="F717" s="3"/>
    </row>
    <row r="718" spans="4:6" ht="14.25" customHeight="1" x14ac:dyDescent="0.3">
      <c r="D718" s="1"/>
      <c r="E718" s="2"/>
      <c r="F718" s="3"/>
    </row>
    <row r="719" spans="4:6" ht="14.25" customHeight="1" x14ac:dyDescent="0.3">
      <c r="D719" s="1"/>
      <c r="E719" s="2"/>
      <c r="F719" s="3"/>
    </row>
    <row r="720" spans="4:6" ht="14.25" customHeight="1" x14ac:dyDescent="0.3">
      <c r="D720" s="1"/>
      <c r="E720" s="2"/>
      <c r="F720" s="3"/>
    </row>
    <row r="721" spans="4:6" ht="14.25" customHeight="1" x14ac:dyDescent="0.3">
      <c r="D721" s="1"/>
      <c r="E721" s="2"/>
      <c r="F721" s="3"/>
    </row>
    <row r="722" spans="4:6" ht="14.25" customHeight="1" x14ac:dyDescent="0.3">
      <c r="D722" s="1"/>
      <c r="E722" s="2"/>
      <c r="F722" s="3"/>
    </row>
    <row r="723" spans="4:6" ht="14.25" customHeight="1" x14ac:dyDescent="0.3">
      <c r="D723" s="1"/>
      <c r="E723" s="2"/>
      <c r="F723" s="3"/>
    </row>
    <row r="724" spans="4:6" ht="14.25" customHeight="1" x14ac:dyDescent="0.3">
      <c r="D724" s="1"/>
      <c r="E724" s="2"/>
      <c r="F724" s="3"/>
    </row>
    <row r="725" spans="4:6" ht="14.25" customHeight="1" x14ac:dyDescent="0.3">
      <c r="D725" s="1"/>
      <c r="E725" s="2"/>
      <c r="F725" s="3"/>
    </row>
    <row r="726" spans="4:6" ht="14.25" customHeight="1" x14ac:dyDescent="0.3">
      <c r="D726" s="1"/>
      <c r="E726" s="2"/>
      <c r="F726" s="3"/>
    </row>
    <row r="727" spans="4:6" ht="14.25" customHeight="1" x14ac:dyDescent="0.3">
      <c r="D727" s="1"/>
      <c r="E727" s="2"/>
      <c r="F727" s="3"/>
    </row>
    <row r="728" spans="4:6" ht="14.25" customHeight="1" x14ac:dyDescent="0.3">
      <c r="D728" s="1"/>
      <c r="E728" s="2"/>
      <c r="F728" s="3"/>
    </row>
    <row r="729" spans="4:6" ht="14.25" customHeight="1" x14ac:dyDescent="0.3">
      <c r="D729" s="1"/>
      <c r="E729" s="2"/>
      <c r="F729" s="3"/>
    </row>
    <row r="730" spans="4:6" ht="14.25" customHeight="1" x14ac:dyDescent="0.3">
      <c r="D730" s="1"/>
      <c r="E730" s="2"/>
      <c r="F730" s="3"/>
    </row>
    <row r="731" spans="4:6" ht="14.25" customHeight="1" x14ac:dyDescent="0.3">
      <c r="D731" s="1"/>
      <c r="E731" s="2"/>
      <c r="F731" s="3"/>
    </row>
    <row r="732" spans="4:6" ht="14.25" customHeight="1" x14ac:dyDescent="0.3">
      <c r="D732" s="1"/>
      <c r="E732" s="2"/>
      <c r="F732" s="3"/>
    </row>
    <row r="733" spans="4:6" ht="14.25" customHeight="1" x14ac:dyDescent="0.3">
      <c r="D733" s="1"/>
      <c r="E733" s="2"/>
      <c r="F733" s="3"/>
    </row>
    <row r="734" spans="4:6" ht="14.25" customHeight="1" x14ac:dyDescent="0.3">
      <c r="D734" s="1"/>
      <c r="E734" s="2"/>
      <c r="F734" s="3"/>
    </row>
    <row r="735" spans="4:6" ht="14.25" customHeight="1" x14ac:dyDescent="0.3">
      <c r="D735" s="1"/>
      <c r="E735" s="2"/>
      <c r="F735" s="3"/>
    </row>
    <row r="736" spans="4:6" ht="14.25" customHeight="1" x14ac:dyDescent="0.3">
      <c r="D736" s="1"/>
      <c r="E736" s="2"/>
      <c r="F736" s="3"/>
    </row>
    <row r="737" spans="4:6" ht="14.25" customHeight="1" x14ac:dyDescent="0.3">
      <c r="D737" s="1"/>
      <c r="E737" s="2"/>
      <c r="F737" s="3"/>
    </row>
    <row r="738" spans="4:6" ht="14.25" customHeight="1" x14ac:dyDescent="0.3">
      <c r="D738" s="1"/>
      <c r="E738" s="2"/>
      <c r="F738" s="3"/>
    </row>
    <row r="739" spans="4:6" ht="14.25" customHeight="1" x14ac:dyDescent="0.3">
      <c r="D739" s="1"/>
      <c r="E739" s="2"/>
      <c r="F739" s="3"/>
    </row>
    <row r="740" spans="4:6" ht="14.25" customHeight="1" x14ac:dyDescent="0.3">
      <c r="D740" s="1"/>
      <c r="E740" s="2"/>
      <c r="F740" s="3"/>
    </row>
    <row r="741" spans="4:6" ht="14.25" customHeight="1" x14ac:dyDescent="0.3">
      <c r="D741" s="1"/>
      <c r="E741" s="2"/>
      <c r="F741" s="3"/>
    </row>
    <row r="742" spans="4:6" ht="14.25" customHeight="1" x14ac:dyDescent="0.3">
      <c r="D742" s="1"/>
      <c r="E742" s="2"/>
      <c r="F742" s="3"/>
    </row>
    <row r="743" spans="4:6" ht="14.25" customHeight="1" x14ac:dyDescent="0.3">
      <c r="D743" s="1"/>
      <c r="E743" s="2"/>
      <c r="F743" s="3"/>
    </row>
    <row r="744" spans="4:6" ht="14.25" customHeight="1" x14ac:dyDescent="0.3">
      <c r="D744" s="1"/>
      <c r="E744" s="2"/>
      <c r="F744" s="3"/>
    </row>
    <row r="745" spans="4:6" ht="14.25" customHeight="1" x14ac:dyDescent="0.3">
      <c r="D745" s="1"/>
      <c r="E745" s="2"/>
      <c r="F745" s="3"/>
    </row>
    <row r="746" spans="4:6" ht="14.25" customHeight="1" x14ac:dyDescent="0.3">
      <c r="D746" s="1"/>
      <c r="E746" s="2"/>
      <c r="F746" s="3"/>
    </row>
    <row r="747" spans="4:6" ht="14.25" customHeight="1" x14ac:dyDescent="0.3">
      <c r="D747" s="1"/>
      <c r="E747" s="2"/>
      <c r="F747" s="3"/>
    </row>
    <row r="748" spans="4:6" ht="14.25" customHeight="1" x14ac:dyDescent="0.3">
      <c r="D748" s="1"/>
      <c r="E748" s="2"/>
      <c r="F748" s="3"/>
    </row>
    <row r="749" spans="4:6" ht="14.25" customHeight="1" x14ac:dyDescent="0.3">
      <c r="D749" s="1"/>
      <c r="E749" s="2"/>
      <c r="F749" s="3"/>
    </row>
    <row r="750" spans="4:6" ht="14.25" customHeight="1" x14ac:dyDescent="0.3">
      <c r="D750" s="1"/>
      <c r="E750" s="2"/>
      <c r="F750" s="3"/>
    </row>
    <row r="751" spans="4:6" ht="14.25" customHeight="1" x14ac:dyDescent="0.3">
      <c r="D751" s="1"/>
      <c r="E751" s="2"/>
      <c r="F751" s="3"/>
    </row>
    <row r="752" spans="4:6" ht="14.25" customHeight="1" x14ac:dyDescent="0.3">
      <c r="D752" s="1"/>
      <c r="E752" s="2"/>
      <c r="F752" s="3"/>
    </row>
    <row r="753" spans="4:6" ht="14.25" customHeight="1" x14ac:dyDescent="0.3">
      <c r="D753" s="1"/>
      <c r="E753" s="2"/>
      <c r="F753" s="3"/>
    </row>
    <row r="754" spans="4:6" ht="14.25" customHeight="1" x14ac:dyDescent="0.3">
      <c r="D754" s="1"/>
      <c r="E754" s="2"/>
      <c r="F754" s="3"/>
    </row>
    <row r="755" spans="4:6" ht="14.25" customHeight="1" x14ac:dyDescent="0.3">
      <c r="D755" s="1"/>
      <c r="E755" s="2"/>
      <c r="F755" s="3"/>
    </row>
    <row r="756" spans="4:6" ht="14.25" customHeight="1" x14ac:dyDescent="0.3">
      <c r="D756" s="1"/>
      <c r="E756" s="2"/>
      <c r="F756" s="3"/>
    </row>
    <row r="757" spans="4:6" ht="14.25" customHeight="1" x14ac:dyDescent="0.3">
      <c r="D757" s="1"/>
      <c r="E757" s="2"/>
      <c r="F757" s="3"/>
    </row>
    <row r="758" spans="4:6" ht="14.25" customHeight="1" x14ac:dyDescent="0.3">
      <c r="D758" s="1"/>
      <c r="E758" s="2"/>
      <c r="F758" s="3"/>
    </row>
    <row r="759" spans="4:6" ht="14.25" customHeight="1" x14ac:dyDescent="0.3">
      <c r="D759" s="1"/>
      <c r="E759" s="2"/>
      <c r="F759" s="3"/>
    </row>
    <row r="760" spans="4:6" ht="14.25" customHeight="1" x14ac:dyDescent="0.3">
      <c r="D760" s="1"/>
      <c r="E760" s="2"/>
      <c r="F760" s="3"/>
    </row>
    <row r="761" spans="4:6" ht="14.25" customHeight="1" x14ac:dyDescent="0.3">
      <c r="D761" s="1"/>
      <c r="E761" s="2"/>
      <c r="F761" s="3"/>
    </row>
    <row r="762" spans="4:6" ht="14.25" customHeight="1" x14ac:dyDescent="0.3">
      <c r="D762" s="1"/>
      <c r="E762" s="2"/>
      <c r="F762" s="3"/>
    </row>
    <row r="763" spans="4:6" ht="14.25" customHeight="1" x14ac:dyDescent="0.3">
      <c r="D763" s="1"/>
      <c r="E763" s="2"/>
      <c r="F763" s="3"/>
    </row>
    <row r="764" spans="4:6" ht="14.25" customHeight="1" x14ac:dyDescent="0.3">
      <c r="D764" s="1"/>
      <c r="E764" s="2"/>
      <c r="F764" s="3"/>
    </row>
    <row r="765" spans="4:6" ht="14.25" customHeight="1" x14ac:dyDescent="0.3">
      <c r="D765" s="1"/>
      <c r="E765" s="2"/>
      <c r="F765" s="3"/>
    </row>
    <row r="766" spans="4:6" ht="14.25" customHeight="1" x14ac:dyDescent="0.3">
      <c r="D766" s="1"/>
      <c r="E766" s="2"/>
      <c r="F766" s="3"/>
    </row>
    <row r="767" spans="4:6" ht="14.25" customHeight="1" x14ac:dyDescent="0.3">
      <c r="D767" s="1"/>
      <c r="E767" s="2"/>
      <c r="F767" s="3"/>
    </row>
    <row r="768" spans="4:6" ht="14.25" customHeight="1" x14ac:dyDescent="0.3">
      <c r="D768" s="1"/>
      <c r="E768" s="2"/>
      <c r="F768" s="3"/>
    </row>
    <row r="769" spans="4:6" ht="14.25" customHeight="1" x14ac:dyDescent="0.3">
      <c r="D769" s="1"/>
      <c r="E769" s="2"/>
      <c r="F769" s="3"/>
    </row>
    <row r="770" spans="4:6" ht="14.25" customHeight="1" x14ac:dyDescent="0.3">
      <c r="D770" s="1"/>
      <c r="E770" s="2"/>
      <c r="F770" s="3"/>
    </row>
    <row r="771" spans="4:6" ht="14.25" customHeight="1" x14ac:dyDescent="0.3">
      <c r="D771" s="1"/>
      <c r="E771" s="2"/>
      <c r="F771" s="3"/>
    </row>
    <row r="772" spans="4:6" ht="14.25" customHeight="1" x14ac:dyDescent="0.3">
      <c r="D772" s="1"/>
      <c r="E772" s="2"/>
      <c r="F772" s="3"/>
    </row>
    <row r="773" spans="4:6" ht="14.25" customHeight="1" x14ac:dyDescent="0.3">
      <c r="D773" s="1"/>
      <c r="E773" s="2"/>
      <c r="F773" s="3"/>
    </row>
    <row r="774" spans="4:6" ht="14.25" customHeight="1" x14ac:dyDescent="0.3">
      <c r="D774" s="1"/>
      <c r="E774" s="2"/>
      <c r="F774" s="3"/>
    </row>
    <row r="775" spans="4:6" ht="14.25" customHeight="1" x14ac:dyDescent="0.3">
      <c r="D775" s="1"/>
      <c r="E775" s="2"/>
      <c r="F775" s="3"/>
    </row>
    <row r="776" spans="4:6" ht="14.25" customHeight="1" x14ac:dyDescent="0.3">
      <c r="D776" s="1"/>
      <c r="E776" s="2"/>
      <c r="F776" s="3"/>
    </row>
    <row r="777" spans="4:6" ht="14.25" customHeight="1" x14ac:dyDescent="0.3">
      <c r="D777" s="1"/>
      <c r="E777" s="2"/>
      <c r="F777" s="3"/>
    </row>
    <row r="778" spans="4:6" ht="14.25" customHeight="1" x14ac:dyDescent="0.3">
      <c r="D778" s="1"/>
      <c r="E778" s="2"/>
      <c r="F778" s="3"/>
    </row>
    <row r="779" spans="4:6" ht="14.25" customHeight="1" x14ac:dyDescent="0.3">
      <c r="D779" s="1"/>
      <c r="E779" s="2"/>
      <c r="F779" s="3"/>
    </row>
    <row r="780" spans="4:6" ht="14.25" customHeight="1" x14ac:dyDescent="0.3">
      <c r="D780" s="1"/>
      <c r="E780" s="2"/>
      <c r="F780" s="3"/>
    </row>
    <row r="781" spans="4:6" ht="14.25" customHeight="1" x14ac:dyDescent="0.3">
      <c r="D781" s="1"/>
      <c r="E781" s="2"/>
      <c r="F781" s="3"/>
    </row>
    <row r="782" spans="4:6" ht="14.25" customHeight="1" x14ac:dyDescent="0.3">
      <c r="D782" s="1"/>
      <c r="E782" s="2"/>
      <c r="F782" s="3"/>
    </row>
    <row r="783" spans="4:6" ht="14.25" customHeight="1" x14ac:dyDescent="0.3">
      <c r="D783" s="1"/>
      <c r="E783" s="2"/>
      <c r="F783" s="3"/>
    </row>
    <row r="784" spans="4:6" ht="14.25" customHeight="1" x14ac:dyDescent="0.3">
      <c r="D784" s="1"/>
      <c r="E784" s="2"/>
      <c r="F784" s="3"/>
    </row>
    <row r="785" spans="4:6" ht="14.25" customHeight="1" x14ac:dyDescent="0.3">
      <c r="D785" s="1"/>
      <c r="E785" s="2"/>
      <c r="F785" s="3"/>
    </row>
    <row r="786" spans="4:6" ht="14.25" customHeight="1" x14ac:dyDescent="0.3">
      <c r="D786" s="1"/>
      <c r="E786" s="2"/>
      <c r="F786" s="3"/>
    </row>
    <row r="787" spans="4:6" ht="14.25" customHeight="1" x14ac:dyDescent="0.3">
      <c r="D787" s="1"/>
      <c r="E787" s="2"/>
      <c r="F787" s="3"/>
    </row>
    <row r="788" spans="4:6" ht="14.25" customHeight="1" x14ac:dyDescent="0.3">
      <c r="D788" s="1"/>
      <c r="E788" s="2"/>
      <c r="F788" s="3"/>
    </row>
    <row r="789" spans="4:6" ht="14.25" customHeight="1" x14ac:dyDescent="0.3">
      <c r="D789" s="1"/>
      <c r="E789" s="2"/>
      <c r="F789" s="3"/>
    </row>
    <row r="790" spans="4:6" ht="14.25" customHeight="1" x14ac:dyDescent="0.3">
      <c r="D790" s="1"/>
      <c r="E790" s="2"/>
      <c r="F790" s="3"/>
    </row>
    <row r="791" spans="4:6" ht="14.25" customHeight="1" x14ac:dyDescent="0.3">
      <c r="D791" s="1"/>
      <c r="E791" s="2"/>
      <c r="F791" s="3"/>
    </row>
    <row r="792" spans="4:6" ht="14.25" customHeight="1" x14ac:dyDescent="0.3">
      <c r="D792" s="1"/>
      <c r="E792" s="2"/>
      <c r="F792" s="3"/>
    </row>
    <row r="793" spans="4:6" ht="14.25" customHeight="1" x14ac:dyDescent="0.3">
      <c r="D793" s="1"/>
      <c r="E793" s="2"/>
      <c r="F793" s="3"/>
    </row>
    <row r="794" spans="4:6" ht="14.25" customHeight="1" x14ac:dyDescent="0.3">
      <c r="D794" s="1"/>
      <c r="E794" s="2"/>
      <c r="F794" s="3"/>
    </row>
    <row r="795" spans="4:6" ht="14.25" customHeight="1" x14ac:dyDescent="0.3">
      <c r="D795" s="1"/>
      <c r="E795" s="2"/>
      <c r="F795" s="3"/>
    </row>
    <row r="796" spans="4:6" ht="14.25" customHeight="1" x14ac:dyDescent="0.3">
      <c r="D796" s="1"/>
      <c r="E796" s="2"/>
      <c r="F796" s="3"/>
    </row>
    <row r="797" spans="4:6" ht="14.25" customHeight="1" x14ac:dyDescent="0.3">
      <c r="D797" s="1"/>
      <c r="E797" s="2"/>
      <c r="F797" s="3"/>
    </row>
    <row r="798" spans="4:6" ht="14.25" customHeight="1" x14ac:dyDescent="0.3">
      <c r="D798" s="1"/>
      <c r="E798" s="2"/>
      <c r="F798" s="3"/>
    </row>
    <row r="799" spans="4:6" ht="14.25" customHeight="1" x14ac:dyDescent="0.3">
      <c r="D799" s="1"/>
      <c r="E799" s="2"/>
      <c r="F799" s="3"/>
    </row>
    <row r="800" spans="4:6" ht="14.25" customHeight="1" x14ac:dyDescent="0.3">
      <c r="D800" s="1"/>
      <c r="E800" s="2"/>
      <c r="F800" s="3"/>
    </row>
    <row r="801" spans="4:6" ht="14.25" customHeight="1" x14ac:dyDescent="0.3">
      <c r="D801" s="1"/>
      <c r="E801" s="2"/>
      <c r="F801" s="3"/>
    </row>
    <row r="802" spans="4:6" ht="14.25" customHeight="1" x14ac:dyDescent="0.3">
      <c r="D802" s="1"/>
      <c r="E802" s="2"/>
      <c r="F802" s="3"/>
    </row>
    <row r="803" spans="4:6" ht="14.25" customHeight="1" x14ac:dyDescent="0.3">
      <c r="D803" s="1"/>
      <c r="E803" s="2"/>
      <c r="F803" s="3"/>
    </row>
    <row r="804" spans="4:6" ht="14.25" customHeight="1" x14ac:dyDescent="0.3">
      <c r="D804" s="1"/>
      <c r="E804" s="2"/>
      <c r="F804" s="3"/>
    </row>
    <row r="805" spans="4:6" ht="14.25" customHeight="1" x14ac:dyDescent="0.3">
      <c r="D805" s="1"/>
      <c r="E805" s="2"/>
      <c r="F805" s="3"/>
    </row>
    <row r="806" spans="4:6" ht="14.25" customHeight="1" x14ac:dyDescent="0.3">
      <c r="D806" s="1"/>
      <c r="E806" s="2"/>
      <c r="F806" s="3"/>
    </row>
    <row r="807" spans="4:6" ht="14.25" customHeight="1" x14ac:dyDescent="0.3">
      <c r="D807" s="1"/>
      <c r="E807" s="2"/>
      <c r="F807" s="3"/>
    </row>
    <row r="808" spans="4:6" ht="14.25" customHeight="1" x14ac:dyDescent="0.3">
      <c r="D808" s="1"/>
      <c r="E808" s="2"/>
      <c r="F808" s="3"/>
    </row>
    <row r="809" spans="4:6" ht="14.25" customHeight="1" x14ac:dyDescent="0.3">
      <c r="D809" s="1"/>
      <c r="E809" s="2"/>
      <c r="F809" s="3"/>
    </row>
    <row r="810" spans="4:6" ht="14.25" customHeight="1" x14ac:dyDescent="0.3">
      <c r="D810" s="1"/>
      <c r="E810" s="2"/>
      <c r="F810" s="3"/>
    </row>
    <row r="811" spans="4:6" ht="14.25" customHeight="1" x14ac:dyDescent="0.3">
      <c r="D811" s="1"/>
      <c r="E811" s="2"/>
      <c r="F811" s="3"/>
    </row>
    <row r="812" spans="4:6" ht="14.25" customHeight="1" x14ac:dyDescent="0.3">
      <c r="D812" s="1"/>
      <c r="E812" s="2"/>
      <c r="F812" s="3"/>
    </row>
    <row r="813" spans="4:6" ht="14.25" customHeight="1" x14ac:dyDescent="0.3">
      <c r="D813" s="1"/>
      <c r="E813" s="2"/>
      <c r="F813" s="3"/>
    </row>
    <row r="814" spans="4:6" ht="14.25" customHeight="1" x14ac:dyDescent="0.3">
      <c r="D814" s="1"/>
      <c r="E814" s="2"/>
      <c r="F814" s="3"/>
    </row>
    <row r="815" spans="4:6" ht="14.25" customHeight="1" x14ac:dyDescent="0.3">
      <c r="D815" s="1"/>
      <c r="E815" s="2"/>
      <c r="F815" s="3"/>
    </row>
    <row r="816" spans="4:6" ht="14.25" customHeight="1" x14ac:dyDescent="0.3">
      <c r="D816" s="1"/>
      <c r="E816" s="2"/>
      <c r="F816" s="3"/>
    </row>
    <row r="817" spans="4:6" ht="14.25" customHeight="1" x14ac:dyDescent="0.3">
      <c r="D817" s="1"/>
      <c r="E817" s="2"/>
      <c r="F817" s="3"/>
    </row>
    <row r="818" spans="4:6" ht="14.25" customHeight="1" x14ac:dyDescent="0.3">
      <c r="D818" s="1"/>
      <c r="E818" s="2"/>
      <c r="F818" s="3"/>
    </row>
    <row r="819" spans="4:6" ht="14.25" customHeight="1" x14ac:dyDescent="0.3">
      <c r="D819" s="1"/>
      <c r="E819" s="2"/>
      <c r="F819" s="3"/>
    </row>
    <row r="820" spans="4:6" ht="14.25" customHeight="1" x14ac:dyDescent="0.3">
      <c r="D820" s="1"/>
      <c r="E820" s="2"/>
      <c r="F820" s="3"/>
    </row>
    <row r="821" spans="4:6" ht="14.25" customHeight="1" x14ac:dyDescent="0.3">
      <c r="D821" s="1"/>
      <c r="E821" s="2"/>
      <c r="F821" s="3"/>
    </row>
    <row r="822" spans="4:6" ht="14.25" customHeight="1" x14ac:dyDescent="0.3">
      <c r="D822" s="1"/>
      <c r="E822" s="2"/>
      <c r="F822" s="3"/>
    </row>
    <row r="823" spans="4:6" ht="14.25" customHeight="1" x14ac:dyDescent="0.3">
      <c r="D823" s="1"/>
      <c r="E823" s="2"/>
      <c r="F823" s="3"/>
    </row>
    <row r="824" spans="4:6" ht="14.25" customHeight="1" x14ac:dyDescent="0.3">
      <c r="D824" s="1"/>
      <c r="E824" s="2"/>
      <c r="F824" s="3"/>
    </row>
    <row r="825" spans="4:6" ht="14.25" customHeight="1" x14ac:dyDescent="0.3">
      <c r="D825" s="1"/>
      <c r="E825" s="2"/>
      <c r="F825" s="3"/>
    </row>
    <row r="826" spans="4:6" ht="14.25" customHeight="1" x14ac:dyDescent="0.3">
      <c r="D826" s="1"/>
      <c r="E826" s="2"/>
      <c r="F826" s="3"/>
    </row>
    <row r="827" spans="4:6" ht="14.25" customHeight="1" x14ac:dyDescent="0.3">
      <c r="D827" s="1"/>
      <c r="E827" s="2"/>
      <c r="F827" s="3"/>
    </row>
    <row r="828" spans="4:6" ht="14.25" customHeight="1" x14ac:dyDescent="0.3">
      <c r="D828" s="1"/>
      <c r="E828" s="2"/>
      <c r="F828" s="3"/>
    </row>
    <row r="829" spans="4:6" ht="14.25" customHeight="1" x14ac:dyDescent="0.3">
      <c r="D829" s="1"/>
      <c r="E829" s="2"/>
      <c r="F829" s="3"/>
    </row>
    <row r="830" spans="4:6" ht="14.25" customHeight="1" x14ac:dyDescent="0.3">
      <c r="D830" s="1"/>
      <c r="E830" s="2"/>
      <c r="F830" s="3"/>
    </row>
    <row r="831" spans="4:6" ht="14.25" customHeight="1" x14ac:dyDescent="0.3">
      <c r="D831" s="1"/>
      <c r="E831" s="2"/>
      <c r="F831" s="3"/>
    </row>
    <row r="832" spans="4:6" ht="14.25" customHeight="1" x14ac:dyDescent="0.3">
      <c r="D832" s="1"/>
      <c r="E832" s="2"/>
      <c r="F832" s="3"/>
    </row>
    <row r="833" spans="4:6" ht="14.25" customHeight="1" x14ac:dyDescent="0.3">
      <c r="D833" s="1"/>
      <c r="E833" s="2"/>
      <c r="F833" s="3"/>
    </row>
    <row r="834" spans="4:6" ht="14.25" customHeight="1" x14ac:dyDescent="0.3">
      <c r="D834" s="1"/>
      <c r="E834" s="2"/>
      <c r="F834" s="3"/>
    </row>
    <row r="835" spans="4:6" ht="14.25" customHeight="1" x14ac:dyDescent="0.3">
      <c r="D835" s="1"/>
      <c r="E835" s="2"/>
      <c r="F835" s="3"/>
    </row>
    <row r="836" spans="4:6" ht="14.25" customHeight="1" x14ac:dyDescent="0.3">
      <c r="D836" s="1"/>
      <c r="E836" s="2"/>
      <c r="F836" s="3"/>
    </row>
    <row r="837" spans="4:6" ht="14.25" customHeight="1" x14ac:dyDescent="0.3">
      <c r="D837" s="1"/>
      <c r="E837" s="2"/>
      <c r="F837" s="3"/>
    </row>
    <row r="838" spans="4:6" ht="14.25" customHeight="1" x14ac:dyDescent="0.3">
      <c r="D838" s="1"/>
      <c r="E838" s="2"/>
      <c r="F838" s="3"/>
    </row>
    <row r="839" spans="4:6" ht="14.25" customHeight="1" x14ac:dyDescent="0.3">
      <c r="D839" s="1"/>
      <c r="E839" s="2"/>
      <c r="F839" s="3"/>
    </row>
    <row r="840" spans="4:6" ht="14.25" customHeight="1" x14ac:dyDescent="0.3">
      <c r="D840" s="1"/>
      <c r="E840" s="2"/>
      <c r="F840" s="3"/>
    </row>
    <row r="841" spans="4:6" ht="14.25" customHeight="1" x14ac:dyDescent="0.3">
      <c r="D841" s="1"/>
      <c r="E841" s="2"/>
      <c r="F841" s="3"/>
    </row>
    <row r="842" spans="4:6" ht="14.25" customHeight="1" x14ac:dyDescent="0.3">
      <c r="D842" s="1"/>
      <c r="E842" s="2"/>
      <c r="F842" s="3"/>
    </row>
    <row r="843" spans="4:6" ht="14.25" customHeight="1" x14ac:dyDescent="0.3">
      <c r="D843" s="1"/>
      <c r="E843" s="2"/>
      <c r="F843" s="3"/>
    </row>
    <row r="844" spans="4:6" ht="14.25" customHeight="1" x14ac:dyDescent="0.3">
      <c r="D844" s="1"/>
      <c r="E844" s="2"/>
      <c r="F844" s="3"/>
    </row>
    <row r="845" spans="4:6" ht="14.25" customHeight="1" x14ac:dyDescent="0.3">
      <c r="D845" s="1"/>
      <c r="E845" s="2"/>
      <c r="F845" s="3"/>
    </row>
    <row r="846" spans="4:6" ht="14.25" customHeight="1" x14ac:dyDescent="0.3">
      <c r="D846" s="1"/>
      <c r="E846" s="2"/>
      <c r="F846" s="3"/>
    </row>
    <row r="847" spans="4:6" ht="14.25" customHeight="1" x14ac:dyDescent="0.3">
      <c r="D847" s="1"/>
      <c r="E847" s="2"/>
      <c r="F847" s="3"/>
    </row>
    <row r="848" spans="4:6" ht="14.25" customHeight="1" x14ac:dyDescent="0.3">
      <c r="D848" s="1"/>
      <c r="E848" s="2"/>
      <c r="F848" s="3"/>
    </row>
    <row r="849" spans="4:6" ht="14.25" customHeight="1" x14ac:dyDescent="0.3">
      <c r="D849" s="1"/>
      <c r="E849" s="2"/>
      <c r="F849" s="3"/>
    </row>
    <row r="850" spans="4:6" ht="14.25" customHeight="1" x14ac:dyDescent="0.3">
      <c r="D850" s="1"/>
      <c r="E850" s="2"/>
      <c r="F850" s="3"/>
    </row>
    <row r="851" spans="4:6" ht="14.25" customHeight="1" x14ac:dyDescent="0.3">
      <c r="D851" s="1"/>
      <c r="E851" s="2"/>
      <c r="F851" s="3"/>
    </row>
    <row r="852" spans="4:6" ht="14.25" customHeight="1" x14ac:dyDescent="0.3">
      <c r="D852" s="1"/>
      <c r="E852" s="2"/>
      <c r="F852" s="3"/>
    </row>
    <row r="853" spans="4:6" ht="14.25" customHeight="1" x14ac:dyDescent="0.3">
      <c r="D853" s="1"/>
      <c r="E853" s="2"/>
      <c r="F853" s="3"/>
    </row>
    <row r="854" spans="4:6" ht="14.25" customHeight="1" x14ac:dyDescent="0.3">
      <c r="D854" s="1"/>
      <c r="E854" s="2"/>
      <c r="F854" s="3"/>
    </row>
    <row r="855" spans="4:6" ht="14.25" customHeight="1" x14ac:dyDescent="0.3">
      <c r="D855" s="1"/>
      <c r="E855" s="2"/>
      <c r="F855" s="3"/>
    </row>
    <row r="856" spans="4:6" ht="14.25" customHeight="1" x14ac:dyDescent="0.3">
      <c r="D856" s="1"/>
      <c r="E856" s="2"/>
      <c r="F856" s="3"/>
    </row>
    <row r="857" spans="4:6" ht="14.25" customHeight="1" x14ac:dyDescent="0.3">
      <c r="D857" s="1"/>
      <c r="E857" s="2"/>
      <c r="F857" s="3"/>
    </row>
    <row r="858" spans="4:6" ht="14.25" customHeight="1" x14ac:dyDescent="0.3">
      <c r="D858" s="1"/>
      <c r="E858" s="2"/>
      <c r="F858" s="3"/>
    </row>
    <row r="859" spans="4:6" ht="14.25" customHeight="1" x14ac:dyDescent="0.3">
      <c r="D859" s="1"/>
      <c r="E859" s="2"/>
      <c r="F859" s="3"/>
    </row>
    <row r="860" spans="4:6" ht="14.25" customHeight="1" x14ac:dyDescent="0.3">
      <c r="D860" s="1"/>
      <c r="E860" s="2"/>
      <c r="F860" s="3"/>
    </row>
    <row r="861" spans="4:6" ht="14.25" customHeight="1" x14ac:dyDescent="0.3">
      <c r="D861" s="1"/>
      <c r="E861" s="2"/>
      <c r="F861" s="3"/>
    </row>
    <row r="862" spans="4:6" ht="14.25" customHeight="1" x14ac:dyDescent="0.3">
      <c r="D862" s="1"/>
      <c r="E862" s="2"/>
      <c r="F862" s="3"/>
    </row>
    <row r="863" spans="4:6" ht="14.25" customHeight="1" x14ac:dyDescent="0.3">
      <c r="D863" s="1"/>
      <c r="E863" s="2"/>
      <c r="F863" s="3"/>
    </row>
    <row r="864" spans="4:6" ht="14.25" customHeight="1" x14ac:dyDescent="0.3">
      <c r="D864" s="1"/>
      <c r="E864" s="2"/>
      <c r="F864" s="3"/>
    </row>
    <row r="865" spans="4:6" ht="14.25" customHeight="1" x14ac:dyDescent="0.3">
      <c r="D865" s="1"/>
      <c r="E865" s="2"/>
      <c r="F865" s="3"/>
    </row>
    <row r="866" spans="4:6" ht="14.25" customHeight="1" x14ac:dyDescent="0.3">
      <c r="D866" s="1"/>
      <c r="E866" s="2"/>
      <c r="F866" s="3"/>
    </row>
    <row r="867" spans="4:6" ht="14.25" customHeight="1" x14ac:dyDescent="0.3">
      <c r="D867" s="1"/>
      <c r="E867" s="2"/>
      <c r="F867" s="3"/>
    </row>
    <row r="868" spans="4:6" ht="14.25" customHeight="1" x14ac:dyDescent="0.3">
      <c r="D868" s="1"/>
      <c r="E868" s="2"/>
      <c r="F868" s="3"/>
    </row>
    <row r="869" spans="4:6" ht="14.25" customHeight="1" x14ac:dyDescent="0.3">
      <c r="D869" s="1"/>
      <c r="E869" s="2"/>
      <c r="F869" s="3"/>
    </row>
    <row r="870" spans="4:6" ht="14.25" customHeight="1" x14ac:dyDescent="0.3">
      <c r="D870" s="1"/>
      <c r="E870" s="2"/>
      <c r="F870" s="3"/>
    </row>
    <row r="871" spans="4:6" ht="14.25" customHeight="1" x14ac:dyDescent="0.3">
      <c r="D871" s="1"/>
      <c r="E871" s="2"/>
      <c r="F871" s="3"/>
    </row>
    <row r="872" spans="4:6" ht="14.25" customHeight="1" x14ac:dyDescent="0.3">
      <c r="D872" s="1"/>
      <c r="E872" s="2"/>
      <c r="F872" s="3"/>
    </row>
    <row r="873" spans="4:6" ht="14.25" customHeight="1" x14ac:dyDescent="0.3">
      <c r="D873" s="1"/>
      <c r="E873" s="2"/>
      <c r="F873" s="3"/>
    </row>
    <row r="874" spans="4:6" ht="14.25" customHeight="1" x14ac:dyDescent="0.3">
      <c r="D874" s="1"/>
      <c r="E874" s="2"/>
      <c r="F874" s="3"/>
    </row>
    <row r="875" spans="4:6" ht="14.25" customHeight="1" x14ac:dyDescent="0.3">
      <c r="D875" s="1"/>
      <c r="E875" s="2"/>
      <c r="F875" s="3"/>
    </row>
    <row r="876" spans="4:6" ht="14.25" customHeight="1" x14ac:dyDescent="0.3">
      <c r="D876" s="1"/>
      <c r="E876" s="2"/>
      <c r="F876" s="3"/>
    </row>
    <row r="877" spans="4:6" ht="14.25" customHeight="1" x14ac:dyDescent="0.3">
      <c r="D877" s="1"/>
      <c r="E877" s="2"/>
      <c r="F877" s="3"/>
    </row>
    <row r="878" spans="4:6" ht="14.25" customHeight="1" x14ac:dyDescent="0.3">
      <c r="D878" s="1"/>
      <c r="E878" s="2"/>
      <c r="F878" s="3"/>
    </row>
    <row r="879" spans="4:6" ht="14.25" customHeight="1" x14ac:dyDescent="0.3">
      <c r="D879" s="1"/>
      <c r="E879" s="2"/>
      <c r="F879" s="3"/>
    </row>
    <row r="880" spans="4:6" ht="14.25" customHeight="1" x14ac:dyDescent="0.3">
      <c r="D880" s="1"/>
      <c r="E880" s="2"/>
      <c r="F880" s="3"/>
    </row>
    <row r="881" spans="4:6" ht="14.25" customHeight="1" x14ac:dyDescent="0.3">
      <c r="D881" s="1"/>
      <c r="E881" s="2"/>
      <c r="F881" s="3"/>
    </row>
    <row r="882" spans="4:6" ht="14.25" customHeight="1" x14ac:dyDescent="0.3">
      <c r="D882" s="1"/>
      <c r="E882" s="2"/>
      <c r="F882" s="3"/>
    </row>
    <row r="883" spans="4:6" ht="14.25" customHeight="1" x14ac:dyDescent="0.3">
      <c r="D883" s="1"/>
      <c r="E883" s="2"/>
      <c r="F883" s="3"/>
    </row>
    <row r="884" spans="4:6" ht="14.25" customHeight="1" x14ac:dyDescent="0.3">
      <c r="D884" s="1"/>
      <c r="E884" s="2"/>
      <c r="F884" s="3"/>
    </row>
    <row r="885" spans="4:6" ht="14.25" customHeight="1" x14ac:dyDescent="0.3">
      <c r="D885" s="1"/>
      <c r="E885" s="2"/>
      <c r="F885" s="3"/>
    </row>
    <row r="886" spans="4:6" ht="14.25" customHeight="1" x14ac:dyDescent="0.3">
      <c r="D886" s="1"/>
      <c r="E886" s="2"/>
      <c r="F886" s="3"/>
    </row>
    <row r="887" spans="4:6" ht="14.25" customHeight="1" x14ac:dyDescent="0.3">
      <c r="D887" s="1"/>
      <c r="E887" s="2"/>
      <c r="F887" s="3"/>
    </row>
    <row r="888" spans="4:6" ht="14.25" customHeight="1" x14ac:dyDescent="0.3">
      <c r="D888" s="1"/>
      <c r="E888" s="2"/>
      <c r="F888" s="3"/>
    </row>
    <row r="889" spans="4:6" ht="14.25" customHeight="1" x14ac:dyDescent="0.3">
      <c r="D889" s="1"/>
      <c r="E889" s="2"/>
      <c r="F889" s="3"/>
    </row>
    <row r="890" spans="4:6" ht="14.25" customHeight="1" x14ac:dyDescent="0.3">
      <c r="D890" s="1"/>
      <c r="E890" s="2"/>
      <c r="F890" s="3"/>
    </row>
    <row r="891" spans="4:6" ht="14.25" customHeight="1" x14ac:dyDescent="0.3">
      <c r="D891" s="1"/>
      <c r="E891" s="2"/>
      <c r="F891" s="3"/>
    </row>
    <row r="892" spans="4:6" ht="14.25" customHeight="1" x14ac:dyDescent="0.3">
      <c r="D892" s="1"/>
      <c r="E892" s="2"/>
      <c r="F892" s="3"/>
    </row>
    <row r="893" spans="4:6" ht="14.25" customHeight="1" x14ac:dyDescent="0.3">
      <c r="D893" s="1"/>
      <c r="E893" s="2"/>
      <c r="F893" s="3"/>
    </row>
    <row r="894" spans="4:6" ht="14.25" customHeight="1" x14ac:dyDescent="0.3">
      <c r="D894" s="1"/>
      <c r="E894" s="2"/>
      <c r="F894" s="3"/>
    </row>
    <row r="895" spans="4:6" ht="14.25" customHeight="1" x14ac:dyDescent="0.3">
      <c r="D895" s="1"/>
      <c r="E895" s="2"/>
      <c r="F895" s="3"/>
    </row>
    <row r="896" spans="4:6" ht="14.25" customHeight="1" x14ac:dyDescent="0.3">
      <c r="D896" s="1"/>
      <c r="E896" s="2"/>
      <c r="F896" s="3"/>
    </row>
    <row r="897" spans="4:6" ht="14.25" customHeight="1" x14ac:dyDescent="0.3">
      <c r="D897" s="1"/>
      <c r="E897" s="2"/>
      <c r="F897" s="3"/>
    </row>
    <row r="898" spans="4:6" ht="14.25" customHeight="1" x14ac:dyDescent="0.3">
      <c r="D898" s="1"/>
      <c r="E898" s="2"/>
      <c r="F898" s="3"/>
    </row>
    <row r="899" spans="4:6" ht="14.25" customHeight="1" x14ac:dyDescent="0.3">
      <c r="D899" s="1"/>
      <c r="E899" s="2"/>
      <c r="F899" s="3"/>
    </row>
    <row r="900" spans="4:6" ht="14.25" customHeight="1" x14ac:dyDescent="0.3">
      <c r="D900" s="1"/>
      <c r="E900" s="2"/>
      <c r="F900" s="3"/>
    </row>
    <row r="901" spans="4:6" ht="14.25" customHeight="1" x14ac:dyDescent="0.3">
      <c r="D901" s="1"/>
      <c r="E901" s="2"/>
      <c r="F901" s="3"/>
    </row>
    <row r="902" spans="4:6" ht="14.25" customHeight="1" x14ac:dyDescent="0.3">
      <c r="D902" s="1"/>
      <c r="E902" s="2"/>
      <c r="F902" s="3"/>
    </row>
    <row r="903" spans="4:6" ht="14.25" customHeight="1" x14ac:dyDescent="0.3">
      <c r="D903" s="1"/>
      <c r="E903" s="2"/>
      <c r="F903" s="3"/>
    </row>
    <row r="904" spans="4:6" ht="14.25" customHeight="1" x14ac:dyDescent="0.3">
      <c r="D904" s="1"/>
      <c r="E904" s="2"/>
      <c r="F904" s="3"/>
    </row>
    <row r="905" spans="4:6" ht="14.25" customHeight="1" x14ac:dyDescent="0.3">
      <c r="D905" s="1"/>
      <c r="E905" s="2"/>
      <c r="F905" s="3"/>
    </row>
    <row r="906" spans="4:6" ht="14.25" customHeight="1" x14ac:dyDescent="0.3">
      <c r="D906" s="1"/>
      <c r="E906" s="2"/>
      <c r="F906" s="3"/>
    </row>
    <row r="907" spans="4:6" ht="14.25" customHeight="1" x14ac:dyDescent="0.3">
      <c r="D907" s="1"/>
      <c r="E907" s="2"/>
      <c r="F907" s="3"/>
    </row>
    <row r="908" spans="4:6" ht="14.25" customHeight="1" x14ac:dyDescent="0.3">
      <c r="D908" s="1"/>
      <c r="E908" s="2"/>
      <c r="F908" s="3"/>
    </row>
    <row r="909" spans="4:6" ht="14.25" customHeight="1" x14ac:dyDescent="0.3">
      <c r="D909" s="1"/>
      <c r="E909" s="2"/>
      <c r="F909" s="3"/>
    </row>
    <row r="910" spans="4:6" ht="14.25" customHeight="1" x14ac:dyDescent="0.3">
      <c r="D910" s="1"/>
      <c r="E910" s="2"/>
      <c r="F910" s="3"/>
    </row>
    <row r="911" spans="4:6" ht="14.25" customHeight="1" x14ac:dyDescent="0.3">
      <c r="D911" s="1"/>
      <c r="E911" s="2"/>
      <c r="F911" s="3"/>
    </row>
    <row r="912" spans="4:6" ht="14.25" customHeight="1" x14ac:dyDescent="0.3">
      <c r="D912" s="1"/>
      <c r="E912" s="2"/>
      <c r="F912" s="3"/>
    </row>
    <row r="913" spans="4:6" ht="14.25" customHeight="1" x14ac:dyDescent="0.3">
      <c r="D913" s="1"/>
      <c r="E913" s="2"/>
      <c r="F913" s="3"/>
    </row>
    <row r="914" spans="4:6" ht="14.25" customHeight="1" x14ac:dyDescent="0.3">
      <c r="D914" s="1"/>
      <c r="E914" s="2"/>
      <c r="F914" s="3"/>
    </row>
    <row r="915" spans="4:6" ht="14.25" customHeight="1" x14ac:dyDescent="0.3">
      <c r="D915" s="1"/>
      <c r="E915" s="2"/>
      <c r="F915" s="3"/>
    </row>
    <row r="916" spans="4:6" ht="14.25" customHeight="1" x14ac:dyDescent="0.3">
      <c r="D916" s="1"/>
      <c r="E916" s="2"/>
      <c r="F916" s="3"/>
    </row>
    <row r="917" spans="4:6" ht="14.25" customHeight="1" x14ac:dyDescent="0.3">
      <c r="D917" s="1"/>
      <c r="E917" s="2"/>
      <c r="F917" s="3"/>
    </row>
    <row r="918" spans="4:6" ht="14.25" customHeight="1" x14ac:dyDescent="0.3">
      <c r="D918" s="1"/>
      <c r="E918" s="2"/>
      <c r="F918" s="3"/>
    </row>
    <row r="919" spans="4:6" ht="14.25" customHeight="1" x14ac:dyDescent="0.3">
      <c r="D919" s="1"/>
      <c r="E919" s="2"/>
      <c r="F919" s="3"/>
    </row>
    <row r="920" spans="4:6" ht="14.25" customHeight="1" x14ac:dyDescent="0.3">
      <c r="D920" s="1"/>
      <c r="E920" s="2"/>
      <c r="F920" s="3"/>
    </row>
    <row r="921" spans="4:6" ht="14.25" customHeight="1" x14ac:dyDescent="0.3">
      <c r="D921" s="1"/>
      <c r="E921" s="2"/>
      <c r="F921" s="3"/>
    </row>
    <row r="922" spans="4:6" ht="14.25" customHeight="1" x14ac:dyDescent="0.3">
      <c r="D922" s="1"/>
      <c r="E922" s="2"/>
      <c r="F922" s="3"/>
    </row>
    <row r="923" spans="4:6" ht="14.25" customHeight="1" x14ac:dyDescent="0.3">
      <c r="D923" s="1"/>
      <c r="E923" s="2"/>
      <c r="F923" s="3"/>
    </row>
    <row r="924" spans="4:6" ht="14.25" customHeight="1" x14ac:dyDescent="0.3">
      <c r="D924" s="1"/>
      <c r="E924" s="2"/>
      <c r="F924" s="3"/>
    </row>
    <row r="925" spans="4:6" ht="14.25" customHeight="1" x14ac:dyDescent="0.3">
      <c r="D925" s="1"/>
      <c r="E925" s="2"/>
      <c r="F925" s="3"/>
    </row>
    <row r="926" spans="4:6" ht="14.25" customHeight="1" x14ac:dyDescent="0.3">
      <c r="D926" s="1"/>
      <c r="E926" s="2"/>
      <c r="F926" s="3"/>
    </row>
    <row r="927" spans="4:6" ht="14.25" customHeight="1" x14ac:dyDescent="0.3">
      <c r="D927" s="1"/>
      <c r="E927" s="2"/>
      <c r="F927" s="3"/>
    </row>
    <row r="928" spans="4:6" ht="14.25" customHeight="1" x14ac:dyDescent="0.3">
      <c r="D928" s="1"/>
      <c r="E928" s="2"/>
      <c r="F928" s="3"/>
    </row>
    <row r="929" spans="4:6" ht="14.25" customHeight="1" x14ac:dyDescent="0.3">
      <c r="D929" s="1"/>
      <c r="E929" s="2"/>
      <c r="F929" s="3"/>
    </row>
    <row r="930" spans="4:6" ht="14.25" customHeight="1" x14ac:dyDescent="0.3">
      <c r="D930" s="1"/>
      <c r="E930" s="2"/>
      <c r="F930" s="3"/>
    </row>
    <row r="931" spans="4:6" ht="14.25" customHeight="1" x14ac:dyDescent="0.3">
      <c r="D931" s="1"/>
      <c r="E931" s="2"/>
      <c r="F931" s="3"/>
    </row>
    <row r="932" spans="4:6" ht="14.25" customHeight="1" x14ac:dyDescent="0.3">
      <c r="D932" s="1"/>
      <c r="E932" s="2"/>
      <c r="F932" s="3"/>
    </row>
    <row r="933" spans="4:6" ht="14.25" customHeight="1" x14ac:dyDescent="0.3">
      <c r="D933" s="1"/>
      <c r="E933" s="2"/>
      <c r="F933" s="3"/>
    </row>
    <row r="934" spans="4:6" ht="14.25" customHeight="1" x14ac:dyDescent="0.3">
      <c r="D934" s="1"/>
      <c r="E934" s="2"/>
      <c r="F934" s="3"/>
    </row>
    <row r="935" spans="4:6" ht="14.25" customHeight="1" x14ac:dyDescent="0.3">
      <c r="D935" s="1"/>
      <c r="E935" s="2"/>
      <c r="F935" s="3"/>
    </row>
    <row r="936" spans="4:6" ht="14.25" customHeight="1" x14ac:dyDescent="0.3">
      <c r="D936" s="1"/>
      <c r="E936" s="2"/>
      <c r="F936" s="3"/>
    </row>
    <row r="937" spans="4:6" ht="14.25" customHeight="1" x14ac:dyDescent="0.3">
      <c r="D937" s="1"/>
      <c r="E937" s="2"/>
      <c r="F937" s="3"/>
    </row>
    <row r="938" spans="4:6" ht="14.25" customHeight="1" x14ac:dyDescent="0.3">
      <c r="D938" s="1"/>
      <c r="E938" s="2"/>
      <c r="F938" s="3"/>
    </row>
    <row r="939" spans="4:6" ht="14.25" customHeight="1" x14ac:dyDescent="0.3">
      <c r="D939" s="1"/>
      <c r="E939" s="2"/>
      <c r="F939" s="3"/>
    </row>
    <row r="940" spans="4:6" ht="14.25" customHeight="1" x14ac:dyDescent="0.3">
      <c r="D940" s="1"/>
      <c r="E940" s="2"/>
      <c r="F940" s="3"/>
    </row>
    <row r="941" spans="4:6" ht="14.25" customHeight="1" x14ac:dyDescent="0.3">
      <c r="D941" s="1"/>
      <c r="E941" s="2"/>
      <c r="F941" s="3"/>
    </row>
    <row r="942" spans="4:6" ht="14.25" customHeight="1" x14ac:dyDescent="0.3">
      <c r="D942" s="1"/>
      <c r="E942" s="2"/>
      <c r="F942" s="3"/>
    </row>
    <row r="943" spans="4:6" ht="14.25" customHeight="1" x14ac:dyDescent="0.3">
      <c r="D943" s="1"/>
      <c r="E943" s="2"/>
      <c r="F943" s="3"/>
    </row>
    <row r="944" spans="4:6" ht="14.25" customHeight="1" x14ac:dyDescent="0.3">
      <c r="D944" s="1"/>
      <c r="E944" s="2"/>
      <c r="F944" s="3"/>
    </row>
    <row r="945" spans="4:6" ht="14.25" customHeight="1" x14ac:dyDescent="0.3">
      <c r="D945" s="1"/>
      <c r="E945" s="2"/>
      <c r="F945" s="3"/>
    </row>
    <row r="946" spans="4:6" ht="14.25" customHeight="1" x14ac:dyDescent="0.3">
      <c r="D946" s="1"/>
      <c r="E946" s="2"/>
      <c r="F946" s="3"/>
    </row>
    <row r="947" spans="4:6" ht="14.25" customHeight="1" x14ac:dyDescent="0.3">
      <c r="D947" s="1"/>
      <c r="E947" s="2"/>
      <c r="F947" s="3"/>
    </row>
    <row r="948" spans="4:6" ht="14.25" customHeight="1" x14ac:dyDescent="0.3">
      <c r="D948" s="1"/>
      <c r="E948" s="2"/>
      <c r="F948" s="3"/>
    </row>
    <row r="949" spans="4:6" ht="14.25" customHeight="1" x14ac:dyDescent="0.3">
      <c r="D949" s="1"/>
      <c r="E949" s="2"/>
      <c r="F949" s="3"/>
    </row>
    <row r="950" spans="4:6" ht="14.25" customHeight="1" x14ac:dyDescent="0.3">
      <c r="D950" s="1"/>
      <c r="E950" s="2"/>
      <c r="F950" s="3"/>
    </row>
    <row r="951" spans="4:6" ht="14.25" customHeight="1" x14ac:dyDescent="0.3">
      <c r="D951" s="1"/>
      <c r="E951" s="2"/>
      <c r="F951" s="3"/>
    </row>
    <row r="952" spans="4:6" ht="14.25" customHeight="1" x14ac:dyDescent="0.3">
      <c r="D952" s="1"/>
      <c r="E952" s="2"/>
      <c r="F952" s="3"/>
    </row>
    <row r="953" spans="4:6" ht="14.25" customHeight="1" x14ac:dyDescent="0.3">
      <c r="D953" s="1"/>
      <c r="E953" s="2"/>
      <c r="F953" s="3"/>
    </row>
    <row r="954" spans="4:6" ht="14.25" customHeight="1" x14ac:dyDescent="0.3">
      <c r="D954" s="1"/>
      <c r="E954" s="2"/>
      <c r="F954" s="3"/>
    </row>
    <row r="955" spans="4:6" ht="14.25" customHeight="1" x14ac:dyDescent="0.3">
      <c r="D955" s="1"/>
      <c r="E955" s="2"/>
      <c r="F955" s="3"/>
    </row>
    <row r="956" spans="4:6" ht="14.25" customHeight="1" x14ac:dyDescent="0.3">
      <c r="D956" s="1"/>
      <c r="E956" s="2"/>
      <c r="F956" s="3"/>
    </row>
    <row r="957" spans="4:6" ht="14.25" customHeight="1" x14ac:dyDescent="0.3">
      <c r="D957" s="1"/>
      <c r="E957" s="2"/>
      <c r="F957" s="3"/>
    </row>
    <row r="958" spans="4:6" ht="14.25" customHeight="1" x14ac:dyDescent="0.3">
      <c r="D958" s="1"/>
      <c r="E958" s="2"/>
      <c r="F958" s="3"/>
    </row>
    <row r="959" spans="4:6" ht="14.25" customHeight="1" x14ac:dyDescent="0.3">
      <c r="D959" s="1"/>
      <c r="E959" s="2"/>
      <c r="F959" s="3"/>
    </row>
    <row r="960" spans="4:6" ht="14.25" customHeight="1" x14ac:dyDescent="0.3">
      <c r="D960" s="1"/>
      <c r="E960" s="2"/>
      <c r="F960" s="3"/>
    </row>
    <row r="961" spans="4:6" ht="14.25" customHeight="1" x14ac:dyDescent="0.3">
      <c r="D961" s="1"/>
      <c r="E961" s="2"/>
      <c r="F961" s="3"/>
    </row>
    <row r="962" spans="4:6" ht="14.25" customHeight="1" x14ac:dyDescent="0.3">
      <c r="D962" s="1"/>
      <c r="E962" s="2"/>
      <c r="F962" s="3"/>
    </row>
    <row r="963" spans="4:6" ht="14.25" customHeight="1" x14ac:dyDescent="0.3">
      <c r="D963" s="1"/>
      <c r="E963" s="2"/>
      <c r="F963" s="3"/>
    </row>
    <row r="964" spans="4:6" ht="14.25" customHeight="1" x14ac:dyDescent="0.3">
      <c r="D964" s="1"/>
      <c r="E964" s="2"/>
      <c r="F964" s="3"/>
    </row>
    <row r="965" spans="4:6" ht="14.25" customHeight="1" x14ac:dyDescent="0.3">
      <c r="D965" s="1"/>
      <c r="E965" s="2"/>
      <c r="F965" s="3"/>
    </row>
    <row r="966" spans="4:6" ht="14.25" customHeight="1" x14ac:dyDescent="0.3">
      <c r="D966" s="1"/>
      <c r="E966" s="2"/>
      <c r="F966" s="3"/>
    </row>
    <row r="967" spans="4:6" ht="14.25" customHeight="1" x14ac:dyDescent="0.3">
      <c r="D967" s="1"/>
      <c r="E967" s="2"/>
      <c r="F967" s="3"/>
    </row>
    <row r="968" spans="4:6" ht="14.25" customHeight="1" x14ac:dyDescent="0.3">
      <c r="D968" s="1"/>
      <c r="E968" s="2"/>
      <c r="F968" s="3"/>
    </row>
    <row r="969" spans="4:6" ht="14.25" customHeight="1" x14ac:dyDescent="0.3">
      <c r="D969" s="1"/>
      <c r="E969" s="2"/>
      <c r="F969" s="3"/>
    </row>
    <row r="970" spans="4:6" ht="14.25" customHeight="1" x14ac:dyDescent="0.3">
      <c r="D970" s="1"/>
      <c r="E970" s="2"/>
      <c r="F970" s="3"/>
    </row>
    <row r="971" spans="4:6" ht="14.25" customHeight="1" x14ac:dyDescent="0.3">
      <c r="D971" s="1"/>
      <c r="E971" s="2"/>
      <c r="F971" s="3"/>
    </row>
    <row r="972" spans="4:6" ht="14.25" customHeight="1" x14ac:dyDescent="0.3">
      <c r="D972" s="1"/>
      <c r="E972" s="2"/>
      <c r="F972" s="3"/>
    </row>
    <row r="973" spans="4:6" ht="14.25" customHeight="1" x14ac:dyDescent="0.3">
      <c r="D973" s="1"/>
      <c r="E973" s="2"/>
      <c r="F973" s="3"/>
    </row>
    <row r="974" spans="4:6" ht="14.25" customHeight="1" x14ac:dyDescent="0.3">
      <c r="D974" s="1"/>
      <c r="E974" s="2"/>
      <c r="F974" s="3"/>
    </row>
    <row r="975" spans="4:6" ht="14.25" customHeight="1" x14ac:dyDescent="0.3">
      <c r="D975" s="1"/>
      <c r="E975" s="2"/>
      <c r="F975" s="3"/>
    </row>
    <row r="976" spans="4:6" ht="14.25" customHeight="1" x14ac:dyDescent="0.3">
      <c r="D976" s="1"/>
      <c r="E976" s="2"/>
      <c r="F976" s="3"/>
    </row>
    <row r="977" spans="4:6" ht="14.25" customHeight="1" x14ac:dyDescent="0.3">
      <c r="D977" s="1"/>
      <c r="E977" s="2"/>
      <c r="F977" s="3"/>
    </row>
    <row r="978" spans="4:6" ht="14.25" customHeight="1" x14ac:dyDescent="0.3">
      <c r="D978" s="1"/>
      <c r="E978" s="2"/>
      <c r="F978" s="3"/>
    </row>
    <row r="979" spans="4:6" ht="14.25" customHeight="1" x14ac:dyDescent="0.3">
      <c r="D979" s="1"/>
      <c r="E979" s="2"/>
      <c r="F979" s="3"/>
    </row>
    <row r="980" spans="4:6" ht="14.25" customHeight="1" x14ac:dyDescent="0.3">
      <c r="D980" s="1"/>
      <c r="E980" s="2"/>
      <c r="F980" s="3"/>
    </row>
    <row r="981" spans="4:6" ht="14.25" customHeight="1" x14ac:dyDescent="0.3">
      <c r="D981" s="1"/>
      <c r="E981" s="2"/>
      <c r="F981" s="3"/>
    </row>
    <row r="982" spans="4:6" ht="14.25" customHeight="1" x14ac:dyDescent="0.3">
      <c r="D982" s="1"/>
      <c r="E982" s="2"/>
      <c r="F982" s="3"/>
    </row>
    <row r="983" spans="4:6" ht="14.25" customHeight="1" x14ac:dyDescent="0.3">
      <c r="D983" s="1"/>
      <c r="E983" s="2"/>
      <c r="F983" s="3"/>
    </row>
    <row r="984" spans="4:6" ht="14.25" customHeight="1" x14ac:dyDescent="0.3">
      <c r="D984" s="1"/>
      <c r="E984" s="2"/>
      <c r="F984" s="3"/>
    </row>
    <row r="985" spans="4:6" ht="14.25" customHeight="1" x14ac:dyDescent="0.3">
      <c r="D985" s="1"/>
      <c r="E985" s="2"/>
      <c r="F985" s="3"/>
    </row>
    <row r="986" spans="4:6" ht="14.25" customHeight="1" x14ac:dyDescent="0.3">
      <c r="D986" s="1"/>
      <c r="E986" s="2"/>
      <c r="F986" s="3"/>
    </row>
    <row r="987" spans="4:6" ht="14.25" customHeight="1" x14ac:dyDescent="0.3">
      <c r="D987" s="1"/>
      <c r="E987" s="2"/>
      <c r="F987" s="3"/>
    </row>
    <row r="988" spans="4:6" ht="14.25" customHeight="1" x14ac:dyDescent="0.3">
      <c r="D988" s="1"/>
      <c r="E988" s="2"/>
      <c r="F988" s="3"/>
    </row>
    <row r="989" spans="4:6" ht="14.25" customHeight="1" x14ac:dyDescent="0.3">
      <c r="D989" s="1"/>
      <c r="E989" s="2"/>
      <c r="F989" s="3"/>
    </row>
    <row r="990" spans="4:6" ht="14.25" customHeight="1" x14ac:dyDescent="0.3">
      <c r="D990" s="1"/>
      <c r="E990" s="2"/>
      <c r="F990" s="3"/>
    </row>
    <row r="991" spans="4:6" ht="14.25" customHeight="1" x14ac:dyDescent="0.3">
      <c r="D991" s="1"/>
      <c r="E991" s="2"/>
      <c r="F991" s="3"/>
    </row>
    <row r="992" spans="4:6" ht="14.25" customHeight="1" x14ac:dyDescent="0.3">
      <c r="D992" s="1"/>
      <c r="E992" s="2"/>
      <c r="F992" s="3"/>
    </row>
    <row r="993" spans="4:6" ht="14.25" customHeight="1" x14ac:dyDescent="0.3">
      <c r="D993" s="1"/>
      <c r="E993" s="2"/>
      <c r="F993" s="3"/>
    </row>
    <row r="994" spans="4:6" ht="14.25" customHeight="1" x14ac:dyDescent="0.3">
      <c r="D994" s="1"/>
      <c r="E994" s="2"/>
      <c r="F994" s="3"/>
    </row>
    <row r="995" spans="4:6" ht="14.25" customHeight="1" x14ac:dyDescent="0.3">
      <c r="D995" s="1"/>
      <c r="E995" s="2"/>
      <c r="F995" s="3"/>
    </row>
    <row r="996" spans="4:6" ht="14.25" customHeight="1" x14ac:dyDescent="0.3">
      <c r="D996" s="1"/>
      <c r="E996" s="2"/>
      <c r="F996" s="3"/>
    </row>
    <row r="997" spans="4:6" ht="14.25" customHeight="1" x14ac:dyDescent="0.3">
      <c r="D997" s="1"/>
      <c r="E997" s="2"/>
      <c r="F997" s="3"/>
    </row>
    <row r="998" spans="4:6" ht="14.25" customHeight="1" x14ac:dyDescent="0.3">
      <c r="D998" s="1"/>
      <c r="E998" s="2"/>
      <c r="F998" s="3"/>
    </row>
    <row r="999" spans="4:6" ht="14.25" customHeight="1" x14ac:dyDescent="0.3">
      <c r="D999" s="1"/>
      <c r="E999" s="2"/>
      <c r="F999" s="3"/>
    </row>
    <row r="1000" spans="4:6" ht="14.25" customHeight="1" x14ac:dyDescent="0.3">
      <c r="D1000" s="1"/>
      <c r="E1000" s="2"/>
      <c r="F1000" s="3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991"/>
  <sheetViews>
    <sheetView workbookViewId="0">
      <pane xSplit="2" ySplit="2" topLeftCell="C53" activePane="bottomRight" state="frozen"/>
      <selection pane="topRight" activeCell="C1" sqref="C1"/>
      <selection pane="bottomLeft" activeCell="A3" sqref="A3"/>
      <selection pane="bottomRight" activeCell="G78" sqref="G78"/>
    </sheetView>
  </sheetViews>
  <sheetFormatPr baseColWidth="10" defaultColWidth="14.44140625" defaultRowHeight="15" customHeight="1" x14ac:dyDescent="0.3"/>
  <cols>
    <col min="1" max="1" width="13.109375" customWidth="1"/>
    <col min="2" max="2" width="28.109375" customWidth="1"/>
    <col min="3" max="3" width="31.88671875" customWidth="1"/>
    <col min="4" max="4" width="23.6640625" customWidth="1"/>
    <col min="5" max="5" width="11.44140625" customWidth="1"/>
    <col min="6" max="6" width="25" customWidth="1"/>
    <col min="7" max="7" width="21.109375" customWidth="1"/>
    <col min="8" max="8" width="26.5546875" customWidth="1"/>
    <col min="9" max="9" width="17.33203125" customWidth="1"/>
    <col min="10" max="10" width="13.88671875" customWidth="1"/>
    <col min="11" max="11" width="10.6640625" customWidth="1"/>
    <col min="12" max="12" width="27.109375" customWidth="1"/>
    <col min="13" max="26" width="10.6640625" customWidth="1"/>
  </cols>
  <sheetData>
    <row r="1" spans="2:12" ht="4.5" customHeight="1" x14ac:dyDescent="0.3">
      <c r="F1" s="95"/>
      <c r="H1" s="16"/>
      <c r="I1" s="2"/>
      <c r="J1" s="14"/>
    </row>
    <row r="2" spans="2:12" ht="26.25" customHeight="1" x14ac:dyDescent="0.3">
      <c r="B2" s="96" t="s">
        <v>49</v>
      </c>
      <c r="C2" s="96" t="s">
        <v>50</v>
      </c>
      <c r="D2" s="96" t="s">
        <v>0</v>
      </c>
      <c r="E2" s="96" t="s">
        <v>51</v>
      </c>
      <c r="F2" s="96" t="s">
        <v>52</v>
      </c>
      <c r="G2" s="96" t="s">
        <v>53</v>
      </c>
      <c r="H2" s="97" t="s">
        <v>54</v>
      </c>
      <c r="I2" s="98" t="s">
        <v>55</v>
      </c>
      <c r="J2" s="99" t="s">
        <v>56</v>
      </c>
    </row>
    <row r="3" spans="2:12" ht="14.25" customHeight="1" x14ac:dyDescent="0.3">
      <c r="B3" s="40" t="s">
        <v>57</v>
      </c>
      <c r="C3" s="40" t="s">
        <v>58</v>
      </c>
      <c r="D3" s="40" t="s">
        <v>40</v>
      </c>
      <c r="E3" s="40" t="str">
        <f>+VLOOKUP(D3,'1) Planilla maestra insumos'!$B$3:$D$98,2,FALSE)</f>
        <v>kg</v>
      </c>
      <c r="F3" s="40">
        <v>0.76800000000000002</v>
      </c>
      <c r="G3" s="40">
        <v>48</v>
      </c>
      <c r="H3" s="100">
        <f t="shared" ref="H3:H161" si="0">+F3/G3</f>
        <v>1.6E-2</v>
      </c>
      <c r="I3" s="65">
        <f t="shared" ref="I3:I34" si="1">+VLOOKUP(D3,Insumos,5,FALSE)</f>
        <v>11006.6</v>
      </c>
      <c r="J3" s="101">
        <f t="shared" ref="J3:J160" si="2">+H3*I3</f>
        <v>176.10560000000001</v>
      </c>
      <c r="L3" s="18">
        <v>411.15</v>
      </c>
    </row>
    <row r="4" spans="2:12" ht="14.25" customHeight="1" x14ac:dyDescent="0.3">
      <c r="B4" s="40" t="s">
        <v>57</v>
      </c>
      <c r="C4" s="40" t="s">
        <v>58</v>
      </c>
      <c r="D4" s="40" t="s">
        <v>23</v>
      </c>
      <c r="E4" s="40" t="str">
        <f>+VLOOKUP(D4,'1) Planilla maestra insumos'!$B$3:$D$98,2,FALSE)</f>
        <v>kg</v>
      </c>
      <c r="F4" s="40">
        <v>0.504</v>
      </c>
      <c r="G4" s="40">
        <v>48</v>
      </c>
      <c r="H4" s="100">
        <f t="shared" si="0"/>
        <v>1.0500000000000001E-2</v>
      </c>
      <c r="I4" s="65">
        <f t="shared" si="1"/>
        <v>10524.5</v>
      </c>
      <c r="J4" s="101">
        <f t="shared" si="2"/>
        <v>110.50725000000001</v>
      </c>
    </row>
    <row r="5" spans="2:12" ht="14.25" customHeight="1" x14ac:dyDescent="0.3">
      <c r="B5" s="40" t="s">
        <v>57</v>
      </c>
      <c r="C5" s="40" t="s">
        <v>58</v>
      </c>
      <c r="D5" s="40" t="s">
        <v>6</v>
      </c>
      <c r="E5" s="40" t="str">
        <f>+VLOOKUP(D5,'1) Planilla maestra insumos'!$B$3:$D$98,2,FALSE)</f>
        <v>kg</v>
      </c>
      <c r="F5" s="40">
        <v>0.88</v>
      </c>
      <c r="G5" s="40">
        <v>48</v>
      </c>
      <c r="H5" s="100">
        <f t="shared" si="0"/>
        <v>1.8333333333333333E-2</v>
      </c>
      <c r="I5" s="65">
        <f t="shared" si="1"/>
        <v>1263.5</v>
      </c>
      <c r="J5" s="101">
        <f t="shared" si="2"/>
        <v>23.164166666666667</v>
      </c>
    </row>
    <row r="6" spans="2:12" ht="14.25" customHeight="1" x14ac:dyDescent="0.3">
      <c r="B6" s="40" t="s">
        <v>57</v>
      </c>
      <c r="C6" s="40" t="s">
        <v>58</v>
      </c>
      <c r="D6" s="40" t="s">
        <v>8</v>
      </c>
      <c r="E6" s="40" t="str">
        <f>+VLOOKUP(D6,'1) Planilla maestra insumos'!$B$3:$D$98,2,FALSE)</f>
        <v>kg</v>
      </c>
      <c r="F6" s="40">
        <v>0.44</v>
      </c>
      <c r="G6" s="40">
        <v>48</v>
      </c>
      <c r="H6" s="100">
        <f t="shared" si="0"/>
        <v>9.1666666666666667E-3</v>
      </c>
      <c r="I6" s="65">
        <f t="shared" si="1"/>
        <v>3093.8</v>
      </c>
      <c r="J6" s="101">
        <f t="shared" si="2"/>
        <v>28.359833333333334</v>
      </c>
    </row>
    <row r="7" spans="2:12" ht="14.25" customHeight="1" x14ac:dyDescent="0.3">
      <c r="B7" s="40" t="s">
        <v>57</v>
      </c>
      <c r="C7" s="40" t="s">
        <v>58</v>
      </c>
      <c r="D7" s="40" t="s">
        <v>35</v>
      </c>
      <c r="E7" s="40" t="str">
        <f>+VLOOKUP(D7,'1) Planilla maestra insumos'!$B$3:$D$98,2,FALSE)</f>
        <v>kg</v>
      </c>
      <c r="F7" s="40">
        <v>0.55000000000000004</v>
      </c>
      <c r="G7" s="40">
        <v>48</v>
      </c>
      <c r="H7" s="100">
        <f t="shared" si="0"/>
        <v>1.1458333333333334E-2</v>
      </c>
      <c r="I7" s="65">
        <f t="shared" si="1"/>
        <v>788</v>
      </c>
      <c r="J7" s="101">
        <f t="shared" si="2"/>
        <v>9.0291666666666668</v>
      </c>
    </row>
    <row r="8" spans="2:12" ht="14.25" customHeight="1" x14ac:dyDescent="0.3">
      <c r="B8" s="40" t="s">
        <v>57</v>
      </c>
      <c r="C8" s="40" t="s">
        <v>58</v>
      </c>
      <c r="D8" s="40" t="s">
        <v>18</v>
      </c>
      <c r="E8" s="40" t="str">
        <f>+VLOOKUP(D8,'1) Planilla maestra insumos'!$B$3:$D$98,2,FALSE)</f>
        <v>kg</v>
      </c>
      <c r="F8" s="40">
        <v>0.372</v>
      </c>
      <c r="G8" s="40">
        <v>48</v>
      </c>
      <c r="H8" s="100">
        <f t="shared" si="0"/>
        <v>7.7499999999999999E-3</v>
      </c>
      <c r="I8" s="65">
        <f t="shared" si="1"/>
        <v>23970</v>
      </c>
      <c r="J8" s="101">
        <f t="shared" si="2"/>
        <v>185.76750000000001</v>
      </c>
    </row>
    <row r="9" spans="2:12" ht="14.25" customHeight="1" x14ac:dyDescent="0.3">
      <c r="B9" s="40" t="s">
        <v>57</v>
      </c>
      <c r="C9" s="40" t="s">
        <v>58</v>
      </c>
      <c r="D9" s="40" t="s">
        <v>30</v>
      </c>
      <c r="E9" s="40" t="str">
        <f>+VLOOKUP(D9,'1) Planilla maestra insumos'!$B$3:$D$98,2,FALSE)</f>
        <v>Lt</v>
      </c>
      <c r="F9" s="40">
        <v>1.4999999999999999E-2</v>
      </c>
      <c r="G9" s="40">
        <v>48</v>
      </c>
      <c r="H9" s="100">
        <f t="shared" si="0"/>
        <v>3.1250000000000001E-4</v>
      </c>
      <c r="I9" s="65">
        <f t="shared" si="1"/>
        <v>26841.8</v>
      </c>
      <c r="J9" s="101">
        <f t="shared" si="2"/>
        <v>8.3880625000000002</v>
      </c>
    </row>
    <row r="10" spans="2:12" ht="14.25" customHeight="1" x14ac:dyDescent="0.3">
      <c r="B10" s="40" t="s">
        <v>57</v>
      </c>
      <c r="C10" s="40" t="s">
        <v>58</v>
      </c>
      <c r="D10" s="40" t="s">
        <v>36</v>
      </c>
      <c r="E10" s="40" t="str">
        <f>+VLOOKUP(D10,'1) Planilla maestra insumos'!$B$3:$D$98,2,FALSE)</f>
        <v>unidades</v>
      </c>
      <c r="F10" s="40">
        <v>10</v>
      </c>
      <c r="G10" s="40">
        <v>48</v>
      </c>
      <c r="H10" s="100">
        <f t="shared" si="0"/>
        <v>0.20833333333333334</v>
      </c>
      <c r="I10" s="65">
        <f t="shared" si="1"/>
        <v>176.66666666666666</v>
      </c>
      <c r="J10" s="101">
        <f t="shared" si="2"/>
        <v>36.805555555555557</v>
      </c>
    </row>
    <row r="11" spans="2:12" ht="14.25" customHeight="1" x14ac:dyDescent="0.3">
      <c r="B11" s="40" t="s">
        <v>59</v>
      </c>
      <c r="C11" s="40" t="s">
        <v>58</v>
      </c>
      <c r="D11" s="40" t="s">
        <v>40</v>
      </c>
      <c r="E11" s="40" t="str">
        <f>+VLOOKUP(D11,'1) Planilla maestra insumos'!$B$3:$D$98,2,FALSE)</f>
        <v>kg</v>
      </c>
      <c r="F11" s="40">
        <v>0.76800000000000002</v>
      </c>
      <c r="G11" s="40">
        <v>48</v>
      </c>
      <c r="H11" s="100">
        <f t="shared" si="0"/>
        <v>1.6E-2</v>
      </c>
      <c r="I11" s="65">
        <f t="shared" si="1"/>
        <v>11006.6</v>
      </c>
      <c r="J11" s="101">
        <f t="shared" si="2"/>
        <v>176.10560000000001</v>
      </c>
    </row>
    <row r="12" spans="2:12" ht="14.25" customHeight="1" x14ac:dyDescent="0.3">
      <c r="B12" s="40" t="s">
        <v>59</v>
      </c>
      <c r="C12" s="40" t="s">
        <v>58</v>
      </c>
      <c r="D12" s="40" t="s">
        <v>23</v>
      </c>
      <c r="E12" s="40" t="str">
        <f>+VLOOKUP(D12,'1) Planilla maestra insumos'!$B$3:$D$98,2,FALSE)</f>
        <v>kg</v>
      </c>
      <c r="F12" s="40">
        <v>0.80400000000000005</v>
      </c>
      <c r="G12" s="40">
        <v>48</v>
      </c>
      <c r="H12" s="100">
        <f t="shared" si="0"/>
        <v>1.6750000000000001E-2</v>
      </c>
      <c r="I12" s="65">
        <f t="shared" si="1"/>
        <v>10524.5</v>
      </c>
      <c r="J12" s="101">
        <f t="shared" si="2"/>
        <v>176.28537500000002</v>
      </c>
    </row>
    <row r="13" spans="2:12" ht="14.25" customHeight="1" x14ac:dyDescent="0.3">
      <c r="B13" s="40" t="s">
        <v>59</v>
      </c>
      <c r="C13" s="40" t="s">
        <v>58</v>
      </c>
      <c r="D13" s="40" t="s">
        <v>6</v>
      </c>
      <c r="E13" s="40" t="str">
        <f>+VLOOKUP(D13,'1) Planilla maestra insumos'!$B$3:$D$98,2,FALSE)</f>
        <v>kg</v>
      </c>
      <c r="F13" s="40">
        <v>0.88</v>
      </c>
      <c r="G13" s="40">
        <v>48</v>
      </c>
      <c r="H13" s="100">
        <f t="shared" si="0"/>
        <v>1.8333333333333333E-2</v>
      </c>
      <c r="I13" s="65">
        <f t="shared" si="1"/>
        <v>1263.5</v>
      </c>
      <c r="J13" s="101">
        <f t="shared" si="2"/>
        <v>23.164166666666667</v>
      </c>
    </row>
    <row r="14" spans="2:12" ht="14.25" customHeight="1" x14ac:dyDescent="0.3">
      <c r="B14" s="40" t="s">
        <v>59</v>
      </c>
      <c r="C14" s="40" t="s">
        <v>58</v>
      </c>
      <c r="D14" s="40" t="s">
        <v>8</v>
      </c>
      <c r="E14" s="40" t="str">
        <f>+VLOOKUP(D14,'1) Planilla maestra insumos'!$B$3:$D$98,2,FALSE)</f>
        <v>kg</v>
      </c>
      <c r="F14" s="40">
        <v>0.44</v>
      </c>
      <c r="G14" s="40">
        <v>48</v>
      </c>
      <c r="H14" s="100">
        <f t="shared" si="0"/>
        <v>9.1666666666666667E-3</v>
      </c>
      <c r="I14" s="65">
        <f t="shared" si="1"/>
        <v>3093.8</v>
      </c>
      <c r="J14" s="101">
        <f t="shared" si="2"/>
        <v>28.359833333333334</v>
      </c>
    </row>
    <row r="15" spans="2:12" ht="14.25" customHeight="1" x14ac:dyDescent="0.3">
      <c r="B15" s="40" t="s">
        <v>59</v>
      </c>
      <c r="C15" s="40" t="s">
        <v>58</v>
      </c>
      <c r="D15" s="40" t="s">
        <v>35</v>
      </c>
      <c r="E15" s="40" t="str">
        <f>+VLOOKUP(D15,'1) Planilla maestra insumos'!$B$3:$D$98,2,FALSE)</f>
        <v>kg</v>
      </c>
      <c r="F15" s="40">
        <v>0.55000000000000004</v>
      </c>
      <c r="G15" s="40">
        <v>48</v>
      </c>
      <c r="H15" s="100">
        <f t="shared" si="0"/>
        <v>1.1458333333333334E-2</v>
      </c>
      <c r="I15" s="65">
        <f t="shared" si="1"/>
        <v>788</v>
      </c>
      <c r="J15" s="101">
        <f t="shared" si="2"/>
        <v>9.0291666666666668</v>
      </c>
    </row>
    <row r="16" spans="2:12" ht="14.25" customHeight="1" x14ac:dyDescent="0.3">
      <c r="B16" s="40" t="s">
        <v>59</v>
      </c>
      <c r="C16" s="40" t="s">
        <v>58</v>
      </c>
      <c r="D16" s="40" t="s">
        <v>18</v>
      </c>
      <c r="E16" s="40" t="str">
        <f>+VLOOKUP(D16,'1) Planilla maestra insumos'!$B$3:$D$98,2,FALSE)</f>
        <v>kg</v>
      </c>
      <c r="F16" s="40">
        <v>0.372</v>
      </c>
      <c r="G16" s="40">
        <v>48</v>
      </c>
      <c r="H16" s="100">
        <f t="shared" si="0"/>
        <v>7.7499999999999999E-3</v>
      </c>
      <c r="I16" s="65">
        <f t="shared" si="1"/>
        <v>23970</v>
      </c>
      <c r="J16" s="101">
        <f t="shared" si="2"/>
        <v>185.76750000000001</v>
      </c>
    </row>
    <row r="17" spans="2:10" ht="14.25" customHeight="1" x14ac:dyDescent="0.3">
      <c r="B17" s="40" t="s">
        <v>59</v>
      </c>
      <c r="C17" s="40" t="s">
        <v>58</v>
      </c>
      <c r="D17" s="40" t="s">
        <v>30</v>
      </c>
      <c r="E17" s="40" t="str">
        <f>+VLOOKUP(D17,'1) Planilla maestra insumos'!$B$3:$D$98,2,FALSE)</f>
        <v>Lt</v>
      </c>
      <c r="F17" s="40">
        <v>1.4999999999999999E-2</v>
      </c>
      <c r="G17" s="40">
        <v>48</v>
      </c>
      <c r="H17" s="100">
        <f t="shared" si="0"/>
        <v>3.1250000000000001E-4</v>
      </c>
      <c r="I17" s="65">
        <f t="shared" si="1"/>
        <v>26841.8</v>
      </c>
      <c r="J17" s="101">
        <f t="shared" si="2"/>
        <v>8.3880625000000002</v>
      </c>
    </row>
    <row r="18" spans="2:10" ht="14.25" customHeight="1" x14ac:dyDescent="0.3">
      <c r="B18" s="40" t="s">
        <v>59</v>
      </c>
      <c r="C18" s="40" t="s">
        <v>58</v>
      </c>
      <c r="D18" s="40" t="s">
        <v>17</v>
      </c>
      <c r="E18" s="40" t="str">
        <f>+VLOOKUP(D18,'1) Planilla maestra insumos'!$B$3:$D$98,2,FALSE)</f>
        <v>kg</v>
      </c>
      <c r="F18" s="40">
        <v>0.04</v>
      </c>
      <c r="G18" s="40">
        <v>48</v>
      </c>
      <c r="H18" s="100">
        <f t="shared" si="0"/>
        <v>8.3333333333333339E-4</v>
      </c>
      <c r="I18" s="65">
        <f t="shared" si="1"/>
        <v>23680</v>
      </c>
      <c r="J18" s="101">
        <f t="shared" si="2"/>
        <v>19.733333333333334</v>
      </c>
    </row>
    <row r="19" spans="2:10" ht="14.25" customHeight="1" x14ac:dyDescent="0.3">
      <c r="B19" s="40" t="s">
        <v>59</v>
      </c>
      <c r="C19" s="40" t="s">
        <v>58</v>
      </c>
      <c r="D19" s="40" t="s">
        <v>42</v>
      </c>
      <c r="E19" s="40" t="str">
        <f>+VLOOKUP(D19,'1) Planilla maestra insumos'!$B$3:$D$98,2,FALSE)</f>
        <v>kg</v>
      </c>
      <c r="F19" s="40">
        <v>0.48</v>
      </c>
      <c r="G19" s="40">
        <v>48</v>
      </c>
      <c r="H19" s="100">
        <f t="shared" si="0"/>
        <v>0.01</v>
      </c>
      <c r="I19" s="65">
        <f t="shared" si="1"/>
        <v>10043.799999999999</v>
      </c>
      <c r="J19" s="101">
        <f t="shared" si="2"/>
        <v>100.43799999999999</v>
      </c>
    </row>
    <row r="20" spans="2:10" ht="14.25" customHeight="1" x14ac:dyDescent="0.3">
      <c r="B20" s="40" t="s">
        <v>59</v>
      </c>
      <c r="C20" s="40" t="s">
        <v>58</v>
      </c>
      <c r="D20" s="40" t="s">
        <v>36</v>
      </c>
      <c r="E20" s="40" t="str">
        <f>+VLOOKUP(D20,'1) Planilla maestra insumos'!$B$3:$D$98,2,FALSE)</f>
        <v>unidades</v>
      </c>
      <c r="F20" s="40">
        <v>10</v>
      </c>
      <c r="G20" s="40">
        <v>48</v>
      </c>
      <c r="H20" s="100">
        <f t="shared" si="0"/>
        <v>0.20833333333333334</v>
      </c>
      <c r="I20" s="65">
        <f t="shared" si="1"/>
        <v>176.66666666666666</v>
      </c>
      <c r="J20" s="101">
        <f t="shared" si="2"/>
        <v>36.805555555555557</v>
      </c>
    </row>
    <row r="21" spans="2:10" ht="14.25" customHeight="1" x14ac:dyDescent="0.3">
      <c r="B21" s="40" t="s">
        <v>60</v>
      </c>
      <c r="C21" s="40" t="s">
        <v>58</v>
      </c>
      <c r="D21" s="40" t="s">
        <v>40</v>
      </c>
      <c r="E21" s="40" t="str">
        <f>+VLOOKUP(D21,'1) Planilla maestra insumos'!$B$3:$D$98,2,FALSE)</f>
        <v>kg</v>
      </c>
      <c r="F21" s="40">
        <v>1.01</v>
      </c>
      <c r="G21" s="40">
        <v>48</v>
      </c>
      <c r="H21" s="100">
        <f t="shared" si="0"/>
        <v>2.1041666666666667E-2</v>
      </c>
      <c r="I21" s="65">
        <f t="shared" si="1"/>
        <v>11006.6</v>
      </c>
      <c r="J21" s="101">
        <f t="shared" si="2"/>
        <v>231.59720833333336</v>
      </c>
    </row>
    <row r="22" spans="2:10" ht="14.25" customHeight="1" x14ac:dyDescent="0.3">
      <c r="B22" s="40" t="s">
        <v>60</v>
      </c>
      <c r="C22" s="40" t="s">
        <v>58</v>
      </c>
      <c r="D22" s="40" t="s">
        <v>6</v>
      </c>
      <c r="E22" s="40" t="str">
        <f>+VLOOKUP(D22,'1) Planilla maestra insumos'!$B$3:$D$98,2,FALSE)</f>
        <v>kg</v>
      </c>
      <c r="F22" s="40">
        <v>0.96</v>
      </c>
      <c r="G22" s="40">
        <v>48</v>
      </c>
      <c r="H22" s="100">
        <f t="shared" si="0"/>
        <v>0.02</v>
      </c>
      <c r="I22" s="65">
        <f t="shared" si="1"/>
        <v>1263.5</v>
      </c>
      <c r="J22" s="101">
        <f t="shared" si="2"/>
        <v>25.27</v>
      </c>
    </row>
    <row r="23" spans="2:10" ht="14.25" customHeight="1" x14ac:dyDescent="0.3">
      <c r="B23" s="40" t="s">
        <v>60</v>
      </c>
      <c r="C23" s="40" t="s">
        <v>58</v>
      </c>
      <c r="D23" s="40" t="s">
        <v>8</v>
      </c>
      <c r="E23" s="40" t="str">
        <f>+VLOOKUP(D23,'1) Planilla maestra insumos'!$B$3:$D$98,2,FALSE)</f>
        <v>kg</v>
      </c>
      <c r="F23" s="40">
        <v>0.44</v>
      </c>
      <c r="G23" s="40">
        <v>48</v>
      </c>
      <c r="H23" s="100">
        <f t="shared" si="0"/>
        <v>9.1666666666666667E-3</v>
      </c>
      <c r="I23" s="65">
        <f t="shared" si="1"/>
        <v>3093.8</v>
      </c>
      <c r="J23" s="101">
        <f t="shared" si="2"/>
        <v>28.359833333333334</v>
      </c>
    </row>
    <row r="24" spans="2:10" ht="14.25" customHeight="1" x14ac:dyDescent="0.3">
      <c r="B24" s="40" t="s">
        <v>60</v>
      </c>
      <c r="C24" s="40" t="s">
        <v>58</v>
      </c>
      <c r="D24" s="40" t="s">
        <v>36</v>
      </c>
      <c r="E24" s="40" t="str">
        <f>+VLOOKUP(D24,'1) Planilla maestra insumos'!$B$3:$D$98,2,FALSE)</f>
        <v>unidades</v>
      </c>
      <c r="F24" s="40">
        <v>12</v>
      </c>
      <c r="G24" s="40">
        <v>48</v>
      </c>
      <c r="H24" s="100">
        <f t="shared" si="0"/>
        <v>0.25</v>
      </c>
      <c r="I24" s="65">
        <f t="shared" si="1"/>
        <v>176.66666666666666</v>
      </c>
      <c r="J24" s="101">
        <f t="shared" si="2"/>
        <v>44.166666666666664</v>
      </c>
    </row>
    <row r="25" spans="2:10" ht="14.25" customHeight="1" x14ac:dyDescent="0.3">
      <c r="B25" s="40" t="s">
        <v>60</v>
      </c>
      <c r="C25" s="40" t="s">
        <v>58</v>
      </c>
      <c r="D25" s="40" t="s">
        <v>35</v>
      </c>
      <c r="E25" s="40" t="str">
        <f>+VLOOKUP(D25,'1) Planilla maestra insumos'!$B$3:$D$98,2,FALSE)</f>
        <v>kg</v>
      </c>
      <c r="F25" s="40">
        <v>0.52</v>
      </c>
      <c r="G25" s="40">
        <v>48</v>
      </c>
      <c r="H25" s="100">
        <f t="shared" si="0"/>
        <v>1.0833333333333334E-2</v>
      </c>
      <c r="I25" s="65">
        <f t="shared" si="1"/>
        <v>788</v>
      </c>
      <c r="J25" s="101">
        <f t="shared" si="2"/>
        <v>8.5366666666666671</v>
      </c>
    </row>
    <row r="26" spans="2:10" ht="14.25" customHeight="1" x14ac:dyDescent="0.3">
      <c r="B26" s="40" t="s">
        <v>60</v>
      </c>
      <c r="C26" s="40" t="s">
        <v>58</v>
      </c>
      <c r="D26" s="40" t="s">
        <v>18</v>
      </c>
      <c r="E26" s="40" t="str">
        <f>+VLOOKUP(D26,'1) Planilla maestra insumos'!$B$3:$D$98,2,FALSE)</f>
        <v>kg</v>
      </c>
      <c r="F26" s="40">
        <v>0.24</v>
      </c>
      <c r="G26" s="40">
        <v>48</v>
      </c>
      <c r="H26" s="100">
        <f t="shared" si="0"/>
        <v>5.0000000000000001E-3</v>
      </c>
      <c r="I26" s="65">
        <f t="shared" si="1"/>
        <v>23970</v>
      </c>
      <c r="J26" s="101">
        <f t="shared" si="2"/>
        <v>119.85000000000001</v>
      </c>
    </row>
    <row r="27" spans="2:10" ht="14.25" customHeight="1" x14ac:dyDescent="0.3">
      <c r="B27" s="40" t="s">
        <v>60</v>
      </c>
      <c r="C27" s="40" t="s">
        <v>58</v>
      </c>
      <c r="D27" s="40" t="s">
        <v>30</v>
      </c>
      <c r="E27" s="40" t="str">
        <f>+VLOOKUP(D27,'1) Planilla maestra insumos'!$B$3:$D$98,2,FALSE)</f>
        <v>Lt</v>
      </c>
      <c r="F27" s="40">
        <v>0.03</v>
      </c>
      <c r="G27" s="40">
        <v>48</v>
      </c>
      <c r="H27" s="100">
        <f t="shared" si="0"/>
        <v>6.2500000000000001E-4</v>
      </c>
      <c r="I27" s="65">
        <f t="shared" si="1"/>
        <v>26841.8</v>
      </c>
      <c r="J27" s="101">
        <f t="shared" si="2"/>
        <v>16.776125</v>
      </c>
    </row>
    <row r="28" spans="2:10" ht="14.25" customHeight="1" x14ac:dyDescent="0.3">
      <c r="B28" s="40" t="s">
        <v>60</v>
      </c>
      <c r="C28" s="40" t="s">
        <v>58</v>
      </c>
      <c r="D28" s="40" t="s">
        <v>26</v>
      </c>
      <c r="E28" s="40" t="str">
        <f>+VLOOKUP(D28,'1) Planilla maestra insumos'!$B$3:$D$98,2,FALSE)</f>
        <v>gr</v>
      </c>
      <c r="F28" s="40">
        <v>15</v>
      </c>
      <c r="G28" s="40">
        <v>48</v>
      </c>
      <c r="H28" s="100">
        <f t="shared" si="0"/>
        <v>0.3125</v>
      </c>
      <c r="I28" s="65">
        <f t="shared" si="1"/>
        <v>73.333333333333329</v>
      </c>
      <c r="J28" s="101">
        <f t="shared" si="2"/>
        <v>22.916666666666664</v>
      </c>
    </row>
    <row r="29" spans="2:10" ht="14.25" customHeight="1" x14ac:dyDescent="0.3">
      <c r="B29" s="40" t="s">
        <v>60</v>
      </c>
      <c r="C29" s="40" t="s">
        <v>58</v>
      </c>
      <c r="D29" s="40" t="s">
        <v>48</v>
      </c>
      <c r="E29" s="40" t="str">
        <f>+VLOOKUP(D29,'1) Planilla maestra insumos'!$B$3:$D$98,2,FALSE)</f>
        <v>Lt</v>
      </c>
      <c r="F29" s="40">
        <v>0.01</v>
      </c>
      <c r="G29" s="40">
        <v>48</v>
      </c>
      <c r="H29" s="100">
        <f t="shared" si="0"/>
        <v>2.0833333333333335E-4</v>
      </c>
      <c r="I29" s="65">
        <f t="shared" si="1"/>
        <v>1000</v>
      </c>
      <c r="J29" s="101">
        <f t="shared" si="2"/>
        <v>0.20833333333333334</v>
      </c>
    </row>
    <row r="30" spans="2:10" ht="14.25" customHeight="1" x14ac:dyDescent="0.3">
      <c r="B30" s="40" t="s">
        <v>60</v>
      </c>
      <c r="C30" s="40" t="s">
        <v>58</v>
      </c>
      <c r="D30" s="40" t="s">
        <v>45</v>
      </c>
      <c r="E30" s="40" t="str">
        <f>+VLOOKUP(D30,'1) Planilla maestra insumos'!$B$3:$D$98,2,FALSE)</f>
        <v>kg</v>
      </c>
      <c r="F30" s="40">
        <v>0.18</v>
      </c>
      <c r="G30" s="40">
        <v>48</v>
      </c>
      <c r="H30" s="100">
        <f t="shared" si="0"/>
        <v>3.7499999999999999E-3</v>
      </c>
      <c r="I30" s="65">
        <f t="shared" si="1"/>
        <v>8725</v>
      </c>
      <c r="J30" s="101">
        <f t="shared" si="2"/>
        <v>32.71875</v>
      </c>
    </row>
    <row r="31" spans="2:10" ht="14.25" customHeight="1" x14ac:dyDescent="0.3">
      <c r="B31" s="40" t="s">
        <v>60</v>
      </c>
      <c r="C31" s="40" t="s">
        <v>58</v>
      </c>
      <c r="D31" s="40" t="s">
        <v>4</v>
      </c>
      <c r="E31" s="40" t="str">
        <f>+VLOOKUP(D31,'1) Planilla maestra insumos'!$B$3:$D$98,2,FALSE)</f>
        <v>kg</v>
      </c>
      <c r="F31" s="40">
        <v>6.0000000000000001E-3</v>
      </c>
      <c r="G31" s="40">
        <v>48</v>
      </c>
      <c r="H31" s="100">
        <f t="shared" si="0"/>
        <v>1.25E-4</v>
      </c>
      <c r="I31" s="65">
        <f t="shared" si="1"/>
        <v>1600</v>
      </c>
      <c r="J31" s="101">
        <f t="shared" si="2"/>
        <v>0.2</v>
      </c>
    </row>
    <row r="32" spans="2:10" ht="14.25" customHeight="1" x14ac:dyDescent="0.3">
      <c r="B32" s="40" t="s">
        <v>60</v>
      </c>
      <c r="C32" s="40" t="s">
        <v>58</v>
      </c>
      <c r="D32" s="40" t="s">
        <v>7</v>
      </c>
      <c r="E32" s="40" t="str">
        <f>+VLOOKUP(D32,'1) Planilla maestra insumos'!$B$3:$D$98,2,FALSE)</f>
        <v>kg</v>
      </c>
      <c r="F32" s="40">
        <v>0.04</v>
      </c>
      <c r="G32" s="40">
        <v>48</v>
      </c>
      <c r="H32" s="100">
        <f t="shared" si="0"/>
        <v>8.3333333333333339E-4</v>
      </c>
      <c r="I32" s="65">
        <f t="shared" si="1"/>
        <v>1750</v>
      </c>
      <c r="J32" s="101">
        <f t="shared" si="2"/>
        <v>1.4583333333333335</v>
      </c>
    </row>
    <row r="33" spans="2:10" ht="14.25" customHeight="1" x14ac:dyDescent="0.3">
      <c r="B33" s="40" t="s">
        <v>60</v>
      </c>
      <c r="C33" s="40" t="s">
        <v>58</v>
      </c>
      <c r="D33" s="40" t="s">
        <v>37</v>
      </c>
      <c r="E33" s="40" t="str">
        <f>+VLOOKUP(D33,'1) Planilla maestra insumos'!$B$3:$D$98,2,FALSE)</f>
        <v>unidades</v>
      </c>
      <c r="F33" s="40">
        <v>1</v>
      </c>
      <c r="G33" s="40">
        <v>48</v>
      </c>
      <c r="H33" s="100">
        <f t="shared" si="0"/>
        <v>2.0833333333333332E-2</v>
      </c>
      <c r="I33" s="65">
        <f t="shared" si="1"/>
        <v>176.66666666666666</v>
      </c>
      <c r="J33" s="101">
        <f t="shared" si="2"/>
        <v>3.6805555555555554</v>
      </c>
    </row>
    <row r="34" spans="2:10" ht="14.25" customHeight="1" x14ac:dyDescent="0.3">
      <c r="B34" s="40" t="s">
        <v>60</v>
      </c>
      <c r="C34" s="40" t="s">
        <v>58</v>
      </c>
      <c r="D34" s="40" t="s">
        <v>30</v>
      </c>
      <c r="E34" s="40" t="str">
        <f>+VLOOKUP(D34,'1) Planilla maestra insumos'!$B$3:$D$98,2,FALSE)</f>
        <v>Lt</v>
      </c>
      <c r="F34" s="40">
        <v>7.0000000000000001E-3</v>
      </c>
      <c r="G34" s="40">
        <v>48</v>
      </c>
      <c r="H34" s="100">
        <f t="shared" si="0"/>
        <v>1.4583333333333335E-4</v>
      </c>
      <c r="I34" s="65">
        <f t="shared" si="1"/>
        <v>26841.8</v>
      </c>
      <c r="J34" s="101">
        <f t="shared" si="2"/>
        <v>3.9144291666666668</v>
      </c>
    </row>
    <row r="35" spans="2:10" ht="14.25" customHeight="1" x14ac:dyDescent="0.3">
      <c r="B35" s="102" t="s">
        <v>61</v>
      </c>
      <c r="C35" s="40" t="s">
        <v>62</v>
      </c>
      <c r="D35" s="40" t="s">
        <v>40</v>
      </c>
      <c r="E35" s="40" t="str">
        <f>+VLOOKUP(D35,'1) Planilla maestra insumos'!$B$3:$D$98,2,FALSE)</f>
        <v>kg</v>
      </c>
      <c r="F35" s="40">
        <v>0.76</v>
      </c>
      <c r="G35" s="40">
        <v>39</v>
      </c>
      <c r="H35" s="100">
        <f t="shared" si="0"/>
        <v>1.9487179487179488E-2</v>
      </c>
      <c r="I35" s="65">
        <f t="shared" ref="I35:I66" si="3">+VLOOKUP(D35,Insumos,5,FALSE)</f>
        <v>11006.6</v>
      </c>
      <c r="J35" s="101">
        <f t="shared" si="2"/>
        <v>214.48758974358975</v>
      </c>
    </row>
    <row r="36" spans="2:10" ht="14.25" customHeight="1" x14ac:dyDescent="0.3">
      <c r="B36" s="102" t="s">
        <v>61</v>
      </c>
      <c r="C36" s="40" t="s">
        <v>62</v>
      </c>
      <c r="D36" s="40" t="s">
        <v>6</v>
      </c>
      <c r="E36" s="40" t="str">
        <f>+VLOOKUP(D36,'1) Planilla maestra insumos'!$B$3:$D$98,2,FALSE)</f>
        <v>kg</v>
      </c>
      <c r="F36" s="40">
        <v>0.94399999999999995</v>
      </c>
      <c r="G36" s="40">
        <v>39</v>
      </c>
      <c r="H36" s="100">
        <f t="shared" si="0"/>
        <v>2.4205128205128205E-2</v>
      </c>
      <c r="I36" s="65">
        <f t="shared" si="3"/>
        <v>1263.5</v>
      </c>
      <c r="J36" s="101">
        <f t="shared" si="2"/>
        <v>30.583179487179489</v>
      </c>
    </row>
    <row r="37" spans="2:10" ht="14.25" customHeight="1" x14ac:dyDescent="0.3">
      <c r="B37" s="102" t="s">
        <v>61</v>
      </c>
      <c r="C37" s="40" t="s">
        <v>62</v>
      </c>
      <c r="D37" s="40" t="s">
        <v>8</v>
      </c>
      <c r="E37" s="40" t="str">
        <f>+VLOOKUP(D37,'1) Planilla maestra insumos'!$B$3:$D$98,2,FALSE)</f>
        <v>kg</v>
      </c>
      <c r="F37" s="40">
        <v>0.4</v>
      </c>
      <c r="G37" s="40">
        <v>39</v>
      </c>
      <c r="H37" s="100">
        <f t="shared" si="0"/>
        <v>1.0256410256410256E-2</v>
      </c>
      <c r="I37" s="65">
        <f t="shared" si="3"/>
        <v>3093.8</v>
      </c>
      <c r="J37" s="101">
        <f t="shared" si="2"/>
        <v>31.731282051282054</v>
      </c>
    </row>
    <row r="38" spans="2:10" ht="14.25" customHeight="1" x14ac:dyDescent="0.3">
      <c r="B38" s="102" t="s">
        <v>61</v>
      </c>
      <c r="C38" s="40" t="s">
        <v>62</v>
      </c>
      <c r="D38" s="40" t="s">
        <v>36</v>
      </c>
      <c r="E38" s="40" t="str">
        <f>+VLOOKUP(D38,'1) Planilla maestra insumos'!$B$3:$D$98,2,FALSE)</f>
        <v>unidades</v>
      </c>
      <c r="F38" s="40">
        <v>8</v>
      </c>
      <c r="G38" s="40">
        <v>39</v>
      </c>
      <c r="H38" s="100">
        <f t="shared" si="0"/>
        <v>0.20512820512820512</v>
      </c>
      <c r="I38" s="65">
        <f t="shared" si="3"/>
        <v>176.66666666666666</v>
      </c>
      <c r="J38" s="101">
        <f t="shared" si="2"/>
        <v>36.239316239316238</v>
      </c>
    </row>
    <row r="39" spans="2:10" ht="14.25" customHeight="1" x14ac:dyDescent="0.3">
      <c r="B39" s="102" t="s">
        <v>61</v>
      </c>
      <c r="C39" s="40" t="s">
        <v>62</v>
      </c>
      <c r="D39" s="40" t="s">
        <v>35</v>
      </c>
      <c r="E39" s="40" t="str">
        <f>+VLOOKUP(D39,'1) Planilla maestra insumos'!$B$3:$D$98,2,FALSE)</f>
        <v>kg</v>
      </c>
      <c r="F39" s="40">
        <v>1</v>
      </c>
      <c r="G39" s="40">
        <v>39</v>
      </c>
      <c r="H39" s="100">
        <f t="shared" si="0"/>
        <v>2.564102564102564E-2</v>
      </c>
      <c r="I39" s="65">
        <f t="shared" si="3"/>
        <v>788</v>
      </c>
      <c r="J39" s="101">
        <f t="shared" si="2"/>
        <v>20.205128205128204</v>
      </c>
    </row>
    <row r="40" spans="2:10" ht="14.25" customHeight="1" x14ac:dyDescent="0.3">
      <c r="B40" s="102" t="s">
        <v>61</v>
      </c>
      <c r="C40" s="40" t="s">
        <v>62</v>
      </c>
      <c r="D40" s="40" t="s">
        <v>34</v>
      </c>
      <c r="E40" s="40" t="str">
        <f>+VLOOKUP(D40,'1) Planilla maestra insumos'!$B$3:$D$98,2,FALSE)</f>
        <v>kg</v>
      </c>
      <c r="F40" s="40">
        <v>0.63</v>
      </c>
      <c r="G40" s="40">
        <v>39</v>
      </c>
      <c r="H40" s="100">
        <f t="shared" si="0"/>
        <v>1.6153846153846154E-2</v>
      </c>
      <c r="I40" s="65">
        <f t="shared" si="3"/>
        <v>692</v>
      </c>
      <c r="J40" s="101">
        <f t="shared" si="2"/>
        <v>11.178461538461539</v>
      </c>
    </row>
    <row r="41" spans="2:10" ht="14.25" customHeight="1" x14ac:dyDescent="0.3">
      <c r="B41" s="102" t="s">
        <v>61</v>
      </c>
      <c r="C41" s="40" t="s">
        <v>62</v>
      </c>
      <c r="D41" s="40" t="s">
        <v>18</v>
      </c>
      <c r="E41" s="40" t="str">
        <f>+VLOOKUP(D41,'1) Planilla maestra insumos'!$B$3:$D$98,2,FALSE)</f>
        <v>kg</v>
      </c>
      <c r="F41" s="40">
        <v>0.08</v>
      </c>
      <c r="G41" s="40">
        <v>39</v>
      </c>
      <c r="H41" s="100">
        <f t="shared" si="0"/>
        <v>2.0512820512820513E-3</v>
      </c>
      <c r="I41" s="65">
        <f t="shared" si="3"/>
        <v>23970</v>
      </c>
      <c r="J41" s="101">
        <f t="shared" si="2"/>
        <v>49.169230769230772</v>
      </c>
    </row>
    <row r="42" spans="2:10" ht="14.25" customHeight="1" x14ac:dyDescent="0.3">
      <c r="B42" s="102" t="s">
        <v>61</v>
      </c>
      <c r="C42" s="40" t="s">
        <v>62</v>
      </c>
      <c r="D42" s="40" t="s">
        <v>11</v>
      </c>
      <c r="E42" s="40" t="str">
        <f>+VLOOKUP(D42,'1) Planilla maestra insumos'!$B$3:$D$98,2,FALSE)</f>
        <v>kg</v>
      </c>
      <c r="F42" s="40">
        <v>1.2E-2</v>
      </c>
      <c r="G42" s="40">
        <v>39</v>
      </c>
      <c r="H42" s="100">
        <f t="shared" si="0"/>
        <v>3.076923076923077E-4</v>
      </c>
      <c r="I42" s="65">
        <f t="shared" si="3"/>
        <v>6000</v>
      </c>
      <c r="J42" s="101">
        <f t="shared" si="2"/>
        <v>1.8461538461538463</v>
      </c>
    </row>
    <row r="43" spans="2:10" ht="14.25" customHeight="1" x14ac:dyDescent="0.3">
      <c r="B43" s="102" t="s">
        <v>61</v>
      </c>
      <c r="C43" s="40" t="s">
        <v>62</v>
      </c>
      <c r="D43" s="40" t="s">
        <v>48</v>
      </c>
      <c r="E43" s="40" t="str">
        <f>+VLOOKUP(D43,'1) Planilla maestra insumos'!$B$3:$D$98,2,FALSE)</f>
        <v>Lt</v>
      </c>
      <c r="F43" s="40">
        <v>8.9999999999999993E-3</v>
      </c>
      <c r="G43" s="40">
        <v>39</v>
      </c>
      <c r="H43" s="100">
        <f t="shared" si="0"/>
        <v>2.3076923076923076E-4</v>
      </c>
      <c r="I43" s="65">
        <f t="shared" si="3"/>
        <v>1000</v>
      </c>
      <c r="J43" s="101">
        <f t="shared" si="2"/>
        <v>0.23076923076923075</v>
      </c>
    </row>
    <row r="44" spans="2:10" ht="14.25" customHeight="1" x14ac:dyDescent="0.3">
      <c r="B44" s="102" t="s">
        <v>61</v>
      </c>
      <c r="C44" s="40" t="s">
        <v>62</v>
      </c>
      <c r="D44" s="40" t="s">
        <v>30</v>
      </c>
      <c r="E44" s="40" t="str">
        <f>+VLOOKUP(D44,'1) Planilla maestra insumos'!$B$3:$D$98,2,FALSE)</f>
        <v>Lt</v>
      </c>
      <c r="F44" s="40">
        <v>1.4999999999999999E-2</v>
      </c>
      <c r="G44" s="40">
        <v>39</v>
      </c>
      <c r="H44" s="100">
        <f t="shared" si="0"/>
        <v>3.8461538461538462E-4</v>
      </c>
      <c r="I44" s="65">
        <f t="shared" si="3"/>
        <v>26841.8</v>
      </c>
      <c r="J44" s="101">
        <f t="shared" si="2"/>
        <v>10.32376923076923</v>
      </c>
    </row>
    <row r="45" spans="2:10" ht="14.25" customHeight="1" x14ac:dyDescent="0.3">
      <c r="B45" s="102" t="s">
        <v>61</v>
      </c>
      <c r="C45" s="40" t="s">
        <v>62</v>
      </c>
      <c r="D45" s="40" t="s">
        <v>22</v>
      </c>
      <c r="E45" s="40" t="str">
        <f>+VLOOKUP(D45,'1) Planilla maestra insumos'!$B$3:$D$98,2,FALSE)</f>
        <v>kg</v>
      </c>
      <c r="F45" s="40">
        <v>0.36</v>
      </c>
      <c r="G45" s="40">
        <v>39</v>
      </c>
      <c r="H45" s="100">
        <f t="shared" si="0"/>
        <v>9.2307692307692299E-3</v>
      </c>
      <c r="I45" s="65">
        <f t="shared" si="3"/>
        <v>10524.5</v>
      </c>
      <c r="J45" s="101">
        <f t="shared" si="2"/>
        <v>97.149230769230755</v>
      </c>
    </row>
    <row r="46" spans="2:10" ht="14.25" customHeight="1" x14ac:dyDescent="0.3">
      <c r="B46" s="102" t="s">
        <v>61</v>
      </c>
      <c r="C46" s="40" t="s">
        <v>62</v>
      </c>
      <c r="D46" s="40" t="s">
        <v>26</v>
      </c>
      <c r="E46" s="40" t="str">
        <f>+VLOOKUP(D46,'1) Planilla maestra insumos'!$B$3:$D$98,2,FALSE)</f>
        <v>gr</v>
      </c>
      <c r="F46" s="40">
        <v>15</v>
      </c>
      <c r="G46" s="40">
        <v>39</v>
      </c>
      <c r="H46" s="100">
        <f t="shared" si="0"/>
        <v>0.38461538461538464</v>
      </c>
      <c r="I46" s="65">
        <f t="shared" si="3"/>
        <v>73.333333333333329</v>
      </c>
      <c r="J46" s="101">
        <f t="shared" si="2"/>
        <v>28.205128205128204</v>
      </c>
    </row>
    <row r="47" spans="2:10" ht="14.25" customHeight="1" x14ac:dyDescent="0.3">
      <c r="B47" s="102" t="s">
        <v>61</v>
      </c>
      <c r="C47" s="40" t="s">
        <v>62</v>
      </c>
      <c r="D47" s="40" t="s">
        <v>44</v>
      </c>
      <c r="E47" s="40" t="str">
        <f>+VLOOKUP(D47,'1) Planilla maestra insumos'!$B$3:$D$98,2,FALSE)</f>
        <v>kg</v>
      </c>
      <c r="F47" s="40">
        <v>0.02</v>
      </c>
      <c r="G47" s="40">
        <v>39</v>
      </c>
      <c r="H47" s="100">
        <f t="shared" si="0"/>
        <v>5.1282051282051282E-4</v>
      </c>
      <c r="I47" s="65">
        <f t="shared" si="3"/>
        <v>5455.333333333333</v>
      </c>
      <c r="J47" s="101">
        <f t="shared" si="2"/>
        <v>2.7976068376068373</v>
      </c>
    </row>
    <row r="48" spans="2:10" ht="14.25" customHeight="1" x14ac:dyDescent="0.3">
      <c r="B48" s="102" t="s">
        <v>61</v>
      </c>
      <c r="C48" s="40" t="s">
        <v>62</v>
      </c>
      <c r="D48" s="40" t="s">
        <v>45</v>
      </c>
      <c r="E48" s="40" t="str">
        <f>+VLOOKUP(D48,'1) Planilla maestra insumos'!$B$3:$D$98,2,FALSE)</f>
        <v>kg</v>
      </c>
      <c r="F48" s="40">
        <v>0.3</v>
      </c>
      <c r="G48" s="40">
        <v>42</v>
      </c>
      <c r="H48" s="100">
        <f t="shared" si="0"/>
        <v>7.1428571428571426E-3</v>
      </c>
      <c r="I48" s="65">
        <f t="shared" si="3"/>
        <v>8725</v>
      </c>
      <c r="J48" s="101">
        <f t="shared" si="2"/>
        <v>62.321428571428569</v>
      </c>
    </row>
    <row r="49" spans="2:10" ht="14.25" customHeight="1" x14ac:dyDescent="0.3">
      <c r="B49" s="40" t="s">
        <v>61</v>
      </c>
      <c r="C49" s="40" t="s">
        <v>62</v>
      </c>
      <c r="D49" s="40" t="s">
        <v>7</v>
      </c>
      <c r="E49" s="40" t="str">
        <f>+VLOOKUP(D49,'1) Planilla maestra insumos'!$B$3:$D$98,2,FALSE)</f>
        <v>kg</v>
      </c>
      <c r="F49" s="40">
        <v>0.45</v>
      </c>
      <c r="G49" s="40">
        <v>42</v>
      </c>
      <c r="H49" s="100">
        <f t="shared" si="0"/>
        <v>1.0714285714285714E-2</v>
      </c>
      <c r="I49" s="65">
        <f t="shared" si="3"/>
        <v>1750</v>
      </c>
      <c r="J49" s="101">
        <f t="shared" si="2"/>
        <v>18.75</v>
      </c>
    </row>
    <row r="50" spans="2:10" ht="14.25" customHeight="1" x14ac:dyDescent="0.3">
      <c r="B50" s="40" t="s">
        <v>61</v>
      </c>
      <c r="C50" s="40" t="s">
        <v>62</v>
      </c>
      <c r="D50" s="40" t="s">
        <v>40</v>
      </c>
      <c r="E50" s="40" t="str">
        <f>+VLOOKUP(D50,'1) Planilla maestra insumos'!$B$3:$D$98,2,FALSE)</f>
        <v>kg</v>
      </c>
      <c r="F50" s="40">
        <v>0.05</v>
      </c>
      <c r="G50" s="40">
        <v>42</v>
      </c>
      <c r="H50" s="100">
        <f t="shared" si="0"/>
        <v>1.1904761904761906E-3</v>
      </c>
      <c r="I50" s="65">
        <f t="shared" si="3"/>
        <v>11006.6</v>
      </c>
      <c r="J50" s="101">
        <f t="shared" si="2"/>
        <v>13.103095238095239</v>
      </c>
    </row>
    <row r="51" spans="2:10" ht="14.25" customHeight="1" x14ac:dyDescent="0.3">
      <c r="B51" s="40" t="s">
        <v>61</v>
      </c>
      <c r="C51" s="40" t="s">
        <v>62</v>
      </c>
      <c r="D51" s="40" t="s">
        <v>4</v>
      </c>
      <c r="E51" s="40" t="s">
        <v>5</v>
      </c>
      <c r="F51" s="40">
        <v>0.04</v>
      </c>
      <c r="G51" s="40">
        <v>42</v>
      </c>
      <c r="H51" s="100">
        <f t="shared" si="0"/>
        <v>9.5238095238095238E-4</v>
      </c>
      <c r="I51" s="65">
        <f t="shared" si="3"/>
        <v>1600</v>
      </c>
      <c r="J51" s="101">
        <f t="shared" si="2"/>
        <v>1.5238095238095237</v>
      </c>
    </row>
    <row r="52" spans="2:10" ht="14.25" customHeight="1" x14ac:dyDescent="0.3">
      <c r="B52" s="40" t="s">
        <v>61</v>
      </c>
      <c r="C52" s="40" t="s">
        <v>62</v>
      </c>
      <c r="D52" s="40" t="s">
        <v>48</v>
      </c>
      <c r="E52" s="40" t="str">
        <f>+VLOOKUP(D52,'1) Planilla maestra insumos'!$B$3:$D$98,2,FALSE)</f>
        <v>Lt</v>
      </c>
      <c r="F52" s="40">
        <v>0.01</v>
      </c>
      <c r="G52" s="40">
        <v>42</v>
      </c>
      <c r="H52" s="100">
        <f t="shared" si="0"/>
        <v>2.380952380952381E-4</v>
      </c>
      <c r="I52" s="65">
        <f t="shared" si="3"/>
        <v>1000</v>
      </c>
      <c r="J52" s="101">
        <f t="shared" si="2"/>
        <v>0.23809523809523808</v>
      </c>
    </row>
    <row r="53" spans="2:10" ht="14.25" customHeight="1" x14ac:dyDescent="0.3">
      <c r="B53" s="40" t="s">
        <v>63</v>
      </c>
      <c r="C53" s="40" t="s">
        <v>62</v>
      </c>
      <c r="D53" s="40" t="s">
        <v>40</v>
      </c>
      <c r="E53" s="40" t="str">
        <f>+VLOOKUP(D53,'1) Planilla maestra insumos'!$B$3:$D$98,2,FALSE)</f>
        <v>kg</v>
      </c>
      <c r="F53" s="40">
        <v>0.68799999999999994</v>
      </c>
      <c r="G53" s="40">
        <v>37</v>
      </c>
      <c r="H53" s="100">
        <f t="shared" si="0"/>
        <v>1.8594594594594595E-2</v>
      </c>
      <c r="I53" s="65">
        <f t="shared" si="3"/>
        <v>11006.6</v>
      </c>
      <c r="J53" s="101">
        <f t="shared" si="2"/>
        <v>204.66326486486489</v>
      </c>
    </row>
    <row r="54" spans="2:10" ht="14.25" customHeight="1" x14ac:dyDescent="0.3">
      <c r="B54" s="40" t="s">
        <v>63</v>
      </c>
      <c r="C54" s="40" t="s">
        <v>62</v>
      </c>
      <c r="D54" s="40" t="s">
        <v>6</v>
      </c>
      <c r="E54" s="40" t="str">
        <f>+VLOOKUP(D54,'1) Planilla maestra insumos'!$B$3:$D$98,2,FALSE)</f>
        <v>kg</v>
      </c>
      <c r="F54" s="40">
        <v>0.98399999999999999</v>
      </c>
      <c r="G54" s="40">
        <v>37</v>
      </c>
      <c r="H54" s="100">
        <f t="shared" si="0"/>
        <v>2.6594594594594595E-2</v>
      </c>
      <c r="I54" s="65">
        <f t="shared" si="3"/>
        <v>1263.5</v>
      </c>
      <c r="J54" s="101">
        <f t="shared" si="2"/>
        <v>33.602270270270267</v>
      </c>
    </row>
    <row r="55" spans="2:10" ht="14.25" customHeight="1" x14ac:dyDescent="0.3">
      <c r="B55" s="40" t="s">
        <v>63</v>
      </c>
      <c r="C55" s="40" t="s">
        <v>62</v>
      </c>
      <c r="D55" s="40" t="s">
        <v>8</v>
      </c>
      <c r="E55" s="40" t="str">
        <f>+VLOOKUP(D55,'1) Planilla maestra insumos'!$B$3:$D$98,2,FALSE)</f>
        <v>kg</v>
      </c>
      <c r="F55" s="40">
        <v>0.432</v>
      </c>
      <c r="G55" s="40">
        <v>37</v>
      </c>
      <c r="H55" s="100">
        <f t="shared" si="0"/>
        <v>1.1675675675675675E-2</v>
      </c>
      <c r="I55" s="65">
        <f t="shared" si="3"/>
        <v>3093.8</v>
      </c>
      <c r="J55" s="101">
        <f t="shared" si="2"/>
        <v>36.122205405405403</v>
      </c>
    </row>
    <row r="56" spans="2:10" ht="14.25" customHeight="1" x14ac:dyDescent="0.3">
      <c r="B56" s="40" t="s">
        <v>63</v>
      </c>
      <c r="C56" s="40" t="s">
        <v>62</v>
      </c>
      <c r="D56" s="40" t="s">
        <v>30</v>
      </c>
      <c r="E56" s="40" t="str">
        <f>+VLOOKUP(D56,'1) Planilla maestra insumos'!$B$3:$D$98,2,FALSE)</f>
        <v>Lt</v>
      </c>
      <c r="F56" s="40">
        <v>0.05</v>
      </c>
      <c r="G56" s="40">
        <v>37</v>
      </c>
      <c r="H56" s="100">
        <f t="shared" si="0"/>
        <v>1.3513513513513514E-3</v>
      </c>
      <c r="I56" s="65">
        <f t="shared" si="3"/>
        <v>26841.8</v>
      </c>
      <c r="J56" s="101">
        <f t="shared" si="2"/>
        <v>36.272702702702702</v>
      </c>
    </row>
    <row r="57" spans="2:10" ht="14.25" customHeight="1" x14ac:dyDescent="0.3">
      <c r="B57" s="40" t="s">
        <v>63</v>
      </c>
      <c r="C57" s="40" t="s">
        <v>62</v>
      </c>
      <c r="D57" s="40" t="s">
        <v>36</v>
      </c>
      <c r="E57" s="40" t="str">
        <f>+VLOOKUP(D57,'1) Planilla maestra insumos'!$B$3:$D$98,2,FALSE)</f>
        <v>unidades</v>
      </c>
      <c r="F57" s="40">
        <v>7</v>
      </c>
      <c r="G57" s="40">
        <v>37</v>
      </c>
      <c r="H57" s="100">
        <f t="shared" si="0"/>
        <v>0.1891891891891892</v>
      </c>
      <c r="I57" s="65">
        <f t="shared" si="3"/>
        <v>176.66666666666666</v>
      </c>
      <c r="J57" s="101">
        <f t="shared" si="2"/>
        <v>33.423423423423422</v>
      </c>
    </row>
    <row r="58" spans="2:10" ht="14.25" customHeight="1" x14ac:dyDescent="0.3">
      <c r="B58" s="40" t="s">
        <v>63</v>
      </c>
      <c r="C58" s="40" t="s">
        <v>62</v>
      </c>
      <c r="D58" s="40" t="s">
        <v>35</v>
      </c>
      <c r="E58" s="40" t="str">
        <f>+VLOOKUP(D58,'1) Planilla maestra insumos'!$B$3:$D$98,2,FALSE)</f>
        <v>kg</v>
      </c>
      <c r="F58" s="40">
        <v>1.1879999999999999</v>
      </c>
      <c r="G58" s="40">
        <v>37</v>
      </c>
      <c r="H58" s="100">
        <f t="shared" si="0"/>
        <v>3.2108108108108109E-2</v>
      </c>
      <c r="I58" s="65">
        <f t="shared" si="3"/>
        <v>788</v>
      </c>
      <c r="J58" s="101">
        <f t="shared" si="2"/>
        <v>25.301189189189191</v>
      </c>
    </row>
    <row r="59" spans="2:10" ht="14.25" customHeight="1" x14ac:dyDescent="0.3">
      <c r="B59" s="40" t="s">
        <v>63</v>
      </c>
      <c r="C59" s="40" t="s">
        <v>62</v>
      </c>
      <c r="D59" s="40" t="s">
        <v>34</v>
      </c>
      <c r="E59" s="40" t="str">
        <f>+VLOOKUP(D59,'1) Planilla maestra insumos'!$B$3:$D$98,2,FALSE)</f>
        <v>kg</v>
      </c>
      <c r="F59" s="40">
        <v>0.79200000000000004</v>
      </c>
      <c r="G59" s="40">
        <v>37</v>
      </c>
      <c r="H59" s="100">
        <f t="shared" si="0"/>
        <v>2.1405405405405406E-2</v>
      </c>
      <c r="I59" s="65">
        <f t="shared" si="3"/>
        <v>692</v>
      </c>
      <c r="J59" s="101">
        <f t="shared" si="2"/>
        <v>14.812540540540541</v>
      </c>
    </row>
    <row r="60" spans="2:10" ht="14.25" customHeight="1" x14ac:dyDescent="0.3">
      <c r="B60" s="40" t="s">
        <v>63</v>
      </c>
      <c r="C60" s="40" t="s">
        <v>62</v>
      </c>
      <c r="D60" s="40" t="s">
        <v>44</v>
      </c>
      <c r="E60" s="40" t="str">
        <f>+VLOOKUP(D60,'1) Planilla maestra insumos'!$B$3:$D$98,2,FALSE)</f>
        <v>kg</v>
      </c>
      <c r="F60" s="40">
        <v>0.03</v>
      </c>
      <c r="G60" s="40">
        <v>37</v>
      </c>
      <c r="H60" s="100">
        <f t="shared" si="0"/>
        <v>8.1081081081081077E-4</v>
      </c>
      <c r="I60" s="65">
        <f t="shared" si="3"/>
        <v>5455.333333333333</v>
      </c>
      <c r="J60" s="101">
        <f t="shared" si="2"/>
        <v>4.4232432432432427</v>
      </c>
    </row>
    <row r="61" spans="2:10" ht="14.25" customHeight="1" x14ac:dyDescent="0.3">
      <c r="B61" s="40" t="s">
        <v>63</v>
      </c>
      <c r="C61" s="40" t="s">
        <v>62</v>
      </c>
      <c r="D61" s="40" t="s">
        <v>11</v>
      </c>
      <c r="E61" s="40" t="str">
        <f>+VLOOKUP(D61,'1) Planilla maestra insumos'!$B$3:$D$98,2,FALSE)</f>
        <v>kg</v>
      </c>
      <c r="F61" s="40">
        <v>0.01</v>
      </c>
      <c r="G61" s="40">
        <v>37</v>
      </c>
      <c r="H61" s="100">
        <f t="shared" si="0"/>
        <v>2.7027027027027027E-4</v>
      </c>
      <c r="I61" s="65">
        <f t="shared" si="3"/>
        <v>6000</v>
      </c>
      <c r="J61" s="101">
        <f t="shared" si="2"/>
        <v>1.6216216216216217</v>
      </c>
    </row>
    <row r="62" spans="2:10" ht="14.25" customHeight="1" x14ac:dyDescent="0.3">
      <c r="B62" s="40" t="s">
        <v>63</v>
      </c>
      <c r="C62" s="40" t="s">
        <v>62</v>
      </c>
      <c r="D62" s="40" t="s">
        <v>9</v>
      </c>
      <c r="E62" s="40" t="str">
        <f>+VLOOKUP(D62,'1) Planilla maestra insumos'!$B$3:$D$98,2,FALSE)</f>
        <v>tabla</v>
      </c>
      <c r="F62" s="40">
        <v>1</v>
      </c>
      <c r="G62" s="40">
        <v>1</v>
      </c>
      <c r="H62" s="100">
        <f t="shared" si="0"/>
        <v>1</v>
      </c>
      <c r="I62" s="65">
        <f t="shared" si="3"/>
        <v>521.375</v>
      </c>
      <c r="J62" s="101">
        <f t="shared" si="2"/>
        <v>521.375</v>
      </c>
    </row>
    <row r="63" spans="2:10" ht="14.25" customHeight="1" x14ac:dyDescent="0.3">
      <c r="B63" s="40" t="s">
        <v>63</v>
      </c>
      <c r="C63" s="40" t="s">
        <v>62</v>
      </c>
      <c r="D63" s="40" t="s">
        <v>41</v>
      </c>
      <c r="E63" s="40" t="str">
        <f>+VLOOKUP(D63,'1) Planilla maestra insumos'!$B$3:$D$98,2,FALSE)</f>
        <v>kg</v>
      </c>
      <c r="F63" s="40">
        <v>1.7999999999999999E-2</v>
      </c>
      <c r="G63" s="40">
        <v>1</v>
      </c>
      <c r="H63" s="100">
        <f t="shared" si="0"/>
        <v>1.7999999999999999E-2</v>
      </c>
      <c r="I63" s="65">
        <f t="shared" si="3"/>
        <v>30658.666666666668</v>
      </c>
      <c r="J63" s="101">
        <f t="shared" si="2"/>
        <v>551.85599999999999</v>
      </c>
    </row>
    <row r="64" spans="2:10" ht="14.25" customHeight="1" x14ac:dyDescent="0.3">
      <c r="B64" s="40" t="s">
        <v>64</v>
      </c>
      <c r="C64" s="40" t="s">
        <v>62</v>
      </c>
      <c r="D64" s="40" t="s">
        <v>40</v>
      </c>
      <c r="E64" s="40" t="str">
        <f>+VLOOKUP(D64,'1) Planilla maestra insumos'!$B$3:$D$98,2,FALSE)</f>
        <v>kg</v>
      </c>
      <c r="F64" s="40">
        <v>0.68799999999999994</v>
      </c>
      <c r="G64" s="40">
        <v>37</v>
      </c>
      <c r="H64" s="100">
        <f t="shared" si="0"/>
        <v>1.8594594594594595E-2</v>
      </c>
      <c r="I64" s="65">
        <f t="shared" si="3"/>
        <v>11006.6</v>
      </c>
      <c r="J64" s="101">
        <f t="shared" si="2"/>
        <v>204.66326486486489</v>
      </c>
    </row>
    <row r="65" spans="2:10" ht="14.25" customHeight="1" x14ac:dyDescent="0.3">
      <c r="B65" s="40" t="s">
        <v>64</v>
      </c>
      <c r="C65" s="40" t="s">
        <v>62</v>
      </c>
      <c r="D65" s="40" t="s">
        <v>6</v>
      </c>
      <c r="E65" s="40" t="str">
        <f>+VLOOKUP(D65,'1) Planilla maestra insumos'!$B$3:$D$98,2,FALSE)</f>
        <v>kg</v>
      </c>
      <c r="F65" s="40">
        <v>0.98399999999999999</v>
      </c>
      <c r="G65" s="40">
        <v>37</v>
      </c>
      <c r="H65" s="100">
        <f t="shared" si="0"/>
        <v>2.6594594594594595E-2</v>
      </c>
      <c r="I65" s="65">
        <f t="shared" si="3"/>
        <v>1263.5</v>
      </c>
      <c r="J65" s="101">
        <f t="shared" si="2"/>
        <v>33.602270270270267</v>
      </c>
    </row>
    <row r="66" spans="2:10" ht="14.25" customHeight="1" x14ac:dyDescent="0.3">
      <c r="B66" s="40" t="s">
        <v>64</v>
      </c>
      <c r="C66" s="40" t="s">
        <v>62</v>
      </c>
      <c r="D66" s="40" t="s">
        <v>8</v>
      </c>
      <c r="E66" s="40" t="str">
        <f>+VLOOKUP(D66,'1) Planilla maestra insumos'!$B$3:$D$98,2,FALSE)</f>
        <v>kg</v>
      </c>
      <c r="F66" s="40">
        <v>0.432</v>
      </c>
      <c r="G66" s="40">
        <v>37</v>
      </c>
      <c r="H66" s="100">
        <f t="shared" si="0"/>
        <v>1.1675675675675675E-2</v>
      </c>
      <c r="I66" s="65">
        <f t="shared" si="3"/>
        <v>3093.8</v>
      </c>
      <c r="J66" s="101">
        <f t="shared" si="2"/>
        <v>36.122205405405403</v>
      </c>
    </row>
    <row r="67" spans="2:10" ht="14.25" customHeight="1" x14ac:dyDescent="0.3">
      <c r="B67" s="40" t="s">
        <v>64</v>
      </c>
      <c r="C67" s="40" t="s">
        <v>62</v>
      </c>
      <c r="D67" s="40" t="s">
        <v>30</v>
      </c>
      <c r="E67" s="40" t="str">
        <f>+VLOOKUP(D67,'1) Planilla maestra insumos'!$B$3:$D$98,2,FALSE)</f>
        <v>Lt</v>
      </c>
      <c r="F67" s="40">
        <v>0.05</v>
      </c>
      <c r="G67" s="40">
        <v>37</v>
      </c>
      <c r="H67" s="100">
        <f t="shared" si="0"/>
        <v>1.3513513513513514E-3</v>
      </c>
      <c r="I67" s="65">
        <f t="shared" ref="I67:I98" si="4">+VLOOKUP(D67,Insumos,5,FALSE)</f>
        <v>26841.8</v>
      </c>
      <c r="J67" s="101">
        <f t="shared" si="2"/>
        <v>36.272702702702702</v>
      </c>
    </row>
    <row r="68" spans="2:10" ht="14.25" customHeight="1" x14ac:dyDescent="0.3">
      <c r="B68" s="40" t="s">
        <v>64</v>
      </c>
      <c r="C68" s="40" t="s">
        <v>62</v>
      </c>
      <c r="D68" s="40" t="s">
        <v>36</v>
      </c>
      <c r="E68" s="40" t="str">
        <f>+VLOOKUP(D68,'1) Planilla maestra insumos'!$B$3:$D$98,2,FALSE)</f>
        <v>unidades</v>
      </c>
      <c r="F68" s="40">
        <v>7</v>
      </c>
      <c r="G68" s="40">
        <v>37</v>
      </c>
      <c r="H68" s="100">
        <f t="shared" si="0"/>
        <v>0.1891891891891892</v>
      </c>
      <c r="I68" s="65">
        <f t="shared" si="4"/>
        <v>176.66666666666666</v>
      </c>
      <c r="J68" s="101">
        <f t="shared" si="2"/>
        <v>33.423423423423422</v>
      </c>
    </row>
    <row r="69" spans="2:10" ht="14.25" customHeight="1" x14ac:dyDescent="0.3">
      <c r="B69" s="40" t="s">
        <v>64</v>
      </c>
      <c r="C69" s="40" t="s">
        <v>62</v>
      </c>
      <c r="D69" s="40" t="s">
        <v>35</v>
      </c>
      <c r="E69" s="40" t="str">
        <f>+VLOOKUP(D69,'1) Planilla maestra insumos'!$B$3:$D$98,2,FALSE)</f>
        <v>kg</v>
      </c>
      <c r="F69" s="40">
        <v>1.1879999999999999</v>
      </c>
      <c r="G69" s="40">
        <v>37</v>
      </c>
      <c r="H69" s="100">
        <f t="shared" si="0"/>
        <v>3.2108108108108109E-2</v>
      </c>
      <c r="I69" s="65">
        <f t="shared" si="4"/>
        <v>788</v>
      </c>
      <c r="J69" s="101">
        <f t="shared" si="2"/>
        <v>25.301189189189191</v>
      </c>
    </row>
    <row r="70" spans="2:10" ht="14.25" customHeight="1" x14ac:dyDescent="0.3">
      <c r="B70" s="40" t="s">
        <v>64</v>
      </c>
      <c r="C70" s="40" t="s">
        <v>62</v>
      </c>
      <c r="D70" s="40" t="s">
        <v>34</v>
      </c>
      <c r="E70" s="40" t="str">
        <f>+VLOOKUP(D70,'1) Planilla maestra insumos'!$B$3:$D$98,2,FALSE)</f>
        <v>kg</v>
      </c>
      <c r="F70" s="40">
        <v>0.79200000000000004</v>
      </c>
      <c r="G70" s="40">
        <v>37</v>
      </c>
      <c r="H70" s="100">
        <f t="shared" si="0"/>
        <v>2.1405405405405406E-2</v>
      </c>
      <c r="I70" s="65">
        <f t="shared" si="4"/>
        <v>692</v>
      </c>
      <c r="J70" s="101">
        <f t="shared" si="2"/>
        <v>14.812540540540541</v>
      </c>
    </row>
    <row r="71" spans="2:10" ht="14.25" customHeight="1" x14ac:dyDescent="0.3">
      <c r="B71" s="40" t="s">
        <v>64</v>
      </c>
      <c r="C71" s="40" t="s">
        <v>62</v>
      </c>
      <c r="D71" s="40" t="s">
        <v>44</v>
      </c>
      <c r="E71" s="40" t="str">
        <f>+VLOOKUP(D71,'1) Planilla maestra insumos'!$B$3:$D$98,2,FALSE)</f>
        <v>kg</v>
      </c>
      <c r="F71" s="40">
        <v>0.03</v>
      </c>
      <c r="G71" s="40">
        <v>37</v>
      </c>
      <c r="H71" s="100">
        <f t="shared" si="0"/>
        <v>8.1081081081081077E-4</v>
      </c>
      <c r="I71" s="65">
        <f t="shared" si="4"/>
        <v>5455.333333333333</v>
      </c>
      <c r="J71" s="101">
        <f t="shared" si="2"/>
        <v>4.4232432432432427</v>
      </c>
    </row>
    <row r="72" spans="2:10" ht="14.25" customHeight="1" x14ac:dyDescent="0.3">
      <c r="B72" s="40" t="s">
        <v>64</v>
      </c>
      <c r="C72" s="40" t="s">
        <v>62</v>
      </c>
      <c r="D72" s="40" t="s">
        <v>11</v>
      </c>
      <c r="E72" s="40" t="str">
        <f>+VLOOKUP(D72,'1) Planilla maestra insumos'!$B$3:$D$98,2,FALSE)</f>
        <v>kg</v>
      </c>
      <c r="F72" s="40">
        <v>0.01</v>
      </c>
      <c r="G72" s="40">
        <v>37</v>
      </c>
      <c r="H72" s="100">
        <f t="shared" si="0"/>
        <v>2.7027027027027027E-4</v>
      </c>
      <c r="I72" s="65">
        <f t="shared" si="4"/>
        <v>6000</v>
      </c>
      <c r="J72" s="101">
        <f t="shared" si="2"/>
        <v>1.6216216216216217</v>
      </c>
    </row>
    <row r="73" spans="2:10" ht="14.25" customHeight="1" x14ac:dyDescent="0.3">
      <c r="B73" s="40" t="s">
        <v>64</v>
      </c>
      <c r="C73" s="40" t="s">
        <v>62</v>
      </c>
      <c r="D73" s="40" t="s">
        <v>14</v>
      </c>
      <c r="E73" s="40" t="str">
        <f>+VLOOKUP(D73,'1) Planilla maestra insumos'!$B$3:$D$98,2,FALSE)</f>
        <v>caja</v>
      </c>
      <c r="F73" s="40">
        <v>1</v>
      </c>
      <c r="G73" s="40">
        <v>1</v>
      </c>
      <c r="H73" s="100">
        <f t="shared" si="0"/>
        <v>1</v>
      </c>
      <c r="I73" s="65">
        <f t="shared" si="4"/>
        <v>443.9</v>
      </c>
      <c r="J73" s="101">
        <f t="shared" si="2"/>
        <v>443.9</v>
      </c>
    </row>
    <row r="74" spans="2:10" ht="14.25" customHeight="1" x14ac:dyDescent="0.3">
      <c r="B74" s="40" t="s">
        <v>64</v>
      </c>
      <c r="C74" s="40" t="s">
        <v>62</v>
      </c>
      <c r="D74" s="40" t="s">
        <v>41</v>
      </c>
      <c r="E74" s="40" t="str">
        <f>+VLOOKUP(D74,'1) Planilla maestra insumos'!$B$3:$D$98,2,FALSE)</f>
        <v>kg</v>
      </c>
      <c r="F74" s="40">
        <v>1.7999999999999999E-2</v>
      </c>
      <c r="G74" s="40">
        <v>1</v>
      </c>
      <c r="H74" s="100">
        <f t="shared" si="0"/>
        <v>1.7999999999999999E-2</v>
      </c>
      <c r="I74" s="65">
        <f t="shared" si="4"/>
        <v>30658.666666666668</v>
      </c>
      <c r="J74" s="101">
        <f t="shared" si="2"/>
        <v>551.85599999999999</v>
      </c>
    </row>
    <row r="75" spans="2:10" ht="14.25" customHeight="1" x14ac:dyDescent="0.3">
      <c r="B75" s="40" t="s">
        <v>65</v>
      </c>
      <c r="C75" s="40" t="s">
        <v>62</v>
      </c>
      <c r="D75" s="40" t="s">
        <v>40</v>
      </c>
      <c r="E75" s="40" t="str">
        <f>+VLOOKUP(D75,'1) Planilla maestra insumos'!$B$3:$D$98,2,FALSE)</f>
        <v>kg</v>
      </c>
      <c r="F75" s="40">
        <v>0.68799999999999994</v>
      </c>
      <c r="G75" s="40">
        <v>37</v>
      </c>
      <c r="H75" s="100">
        <f t="shared" si="0"/>
        <v>1.8594594594594595E-2</v>
      </c>
      <c r="I75" s="65">
        <f t="shared" si="4"/>
        <v>11006.6</v>
      </c>
      <c r="J75" s="101">
        <f t="shared" si="2"/>
        <v>204.66326486486489</v>
      </c>
    </row>
    <row r="76" spans="2:10" ht="14.25" customHeight="1" x14ac:dyDescent="0.3">
      <c r="B76" s="40" t="s">
        <v>65</v>
      </c>
      <c r="C76" s="40" t="s">
        <v>62</v>
      </c>
      <c r="D76" s="40" t="s">
        <v>6</v>
      </c>
      <c r="E76" s="40" t="str">
        <f>+VLOOKUP(D76,'1) Planilla maestra insumos'!$B$3:$D$98,2,FALSE)</f>
        <v>kg</v>
      </c>
      <c r="F76" s="40">
        <v>0.98399999999999999</v>
      </c>
      <c r="G76" s="40">
        <v>37</v>
      </c>
      <c r="H76" s="100">
        <f t="shared" si="0"/>
        <v>2.6594594594594595E-2</v>
      </c>
      <c r="I76" s="65">
        <f t="shared" si="4"/>
        <v>1263.5</v>
      </c>
      <c r="J76" s="101">
        <f t="shared" si="2"/>
        <v>33.602270270270267</v>
      </c>
    </row>
    <row r="77" spans="2:10" ht="14.25" customHeight="1" x14ac:dyDescent="0.3">
      <c r="B77" s="40" t="s">
        <v>65</v>
      </c>
      <c r="C77" s="40" t="s">
        <v>62</v>
      </c>
      <c r="D77" s="40" t="s">
        <v>8</v>
      </c>
      <c r="E77" s="40" t="str">
        <f>+VLOOKUP(D77,'1) Planilla maestra insumos'!$B$3:$D$98,2,FALSE)</f>
        <v>kg</v>
      </c>
      <c r="F77" s="40">
        <v>0.432</v>
      </c>
      <c r="G77" s="40">
        <v>37</v>
      </c>
      <c r="H77" s="100">
        <f t="shared" si="0"/>
        <v>1.1675675675675675E-2</v>
      </c>
      <c r="I77" s="65">
        <f t="shared" si="4"/>
        <v>3093.8</v>
      </c>
      <c r="J77" s="101">
        <f t="shared" si="2"/>
        <v>36.122205405405403</v>
      </c>
    </row>
    <row r="78" spans="2:10" ht="14.25" customHeight="1" x14ac:dyDescent="0.3">
      <c r="B78" s="40" t="s">
        <v>65</v>
      </c>
      <c r="C78" s="40" t="s">
        <v>62</v>
      </c>
      <c r="D78" s="40" t="s">
        <v>30</v>
      </c>
      <c r="E78" s="40" t="str">
        <f>+VLOOKUP(D78,'1) Planilla maestra insumos'!$B$3:$D$98,2,FALSE)</f>
        <v>Lt</v>
      </c>
      <c r="F78" s="40">
        <v>0.05</v>
      </c>
      <c r="G78" s="40">
        <v>37</v>
      </c>
      <c r="H78" s="100">
        <f t="shared" si="0"/>
        <v>1.3513513513513514E-3</v>
      </c>
      <c r="I78" s="65">
        <f t="shared" si="4"/>
        <v>26841.8</v>
      </c>
      <c r="J78" s="101">
        <f t="shared" si="2"/>
        <v>36.272702702702702</v>
      </c>
    </row>
    <row r="79" spans="2:10" ht="14.25" customHeight="1" x14ac:dyDescent="0.3">
      <c r="B79" s="40" t="s">
        <v>65</v>
      </c>
      <c r="C79" s="40" t="s">
        <v>62</v>
      </c>
      <c r="D79" s="40" t="s">
        <v>36</v>
      </c>
      <c r="E79" s="40" t="str">
        <f>+VLOOKUP(D79,'1) Planilla maestra insumos'!$B$3:$D$98,2,FALSE)</f>
        <v>unidades</v>
      </c>
      <c r="F79" s="40">
        <v>7</v>
      </c>
      <c r="G79" s="40">
        <v>37</v>
      </c>
      <c r="H79" s="100">
        <f t="shared" si="0"/>
        <v>0.1891891891891892</v>
      </c>
      <c r="I79" s="65">
        <f t="shared" si="4"/>
        <v>176.66666666666666</v>
      </c>
      <c r="J79" s="101">
        <f t="shared" si="2"/>
        <v>33.423423423423422</v>
      </c>
    </row>
    <row r="80" spans="2:10" ht="14.25" customHeight="1" x14ac:dyDescent="0.3">
      <c r="B80" s="40" t="s">
        <v>65</v>
      </c>
      <c r="C80" s="40" t="s">
        <v>62</v>
      </c>
      <c r="D80" s="40" t="s">
        <v>35</v>
      </c>
      <c r="E80" s="40" t="str">
        <f>+VLOOKUP(D80,'1) Planilla maestra insumos'!$B$3:$D$98,2,FALSE)</f>
        <v>kg</v>
      </c>
      <c r="F80" s="40">
        <v>1.1879999999999999</v>
      </c>
      <c r="G80" s="40">
        <v>37</v>
      </c>
      <c r="H80" s="100">
        <f t="shared" si="0"/>
        <v>3.2108108108108109E-2</v>
      </c>
      <c r="I80" s="65">
        <f t="shared" si="4"/>
        <v>788</v>
      </c>
      <c r="J80" s="101">
        <f t="shared" si="2"/>
        <v>25.301189189189191</v>
      </c>
    </row>
    <row r="81" spans="2:10" ht="14.25" customHeight="1" x14ac:dyDescent="0.3">
      <c r="B81" s="40" t="s">
        <v>65</v>
      </c>
      <c r="C81" s="40" t="s">
        <v>62</v>
      </c>
      <c r="D81" s="40" t="s">
        <v>34</v>
      </c>
      <c r="E81" s="40" t="str">
        <f>+VLOOKUP(D81,'1) Planilla maestra insumos'!$B$3:$D$98,2,FALSE)</f>
        <v>kg</v>
      </c>
      <c r="F81" s="40">
        <v>0.79200000000000004</v>
      </c>
      <c r="G81" s="40">
        <v>37</v>
      </c>
      <c r="H81" s="100">
        <f t="shared" si="0"/>
        <v>2.1405405405405406E-2</v>
      </c>
      <c r="I81" s="65">
        <f t="shared" si="4"/>
        <v>692</v>
      </c>
      <c r="J81" s="101">
        <f t="shared" si="2"/>
        <v>14.812540540540541</v>
      </c>
    </row>
    <row r="82" spans="2:10" ht="14.25" customHeight="1" x14ac:dyDescent="0.3">
      <c r="B82" s="40" t="s">
        <v>65</v>
      </c>
      <c r="C82" s="40" t="s">
        <v>62</v>
      </c>
      <c r="D82" s="40" t="s">
        <v>44</v>
      </c>
      <c r="E82" s="40" t="str">
        <f>+VLOOKUP(D82,'1) Planilla maestra insumos'!$B$3:$D$98,2,FALSE)</f>
        <v>kg</v>
      </c>
      <c r="F82" s="40">
        <v>0.03</v>
      </c>
      <c r="G82" s="40">
        <v>37</v>
      </c>
      <c r="H82" s="100">
        <f t="shared" si="0"/>
        <v>8.1081081081081077E-4</v>
      </c>
      <c r="I82" s="65">
        <f t="shared" si="4"/>
        <v>5455.333333333333</v>
      </c>
      <c r="J82" s="101">
        <f t="shared" si="2"/>
        <v>4.4232432432432427</v>
      </c>
    </row>
    <row r="83" spans="2:10" ht="14.25" customHeight="1" x14ac:dyDescent="0.3">
      <c r="B83" s="40" t="s">
        <v>65</v>
      </c>
      <c r="C83" s="40" t="s">
        <v>62</v>
      </c>
      <c r="D83" s="40" t="s">
        <v>11</v>
      </c>
      <c r="E83" s="40" t="str">
        <f>+VLOOKUP(D83,'1) Planilla maestra insumos'!$B$3:$D$98,2,FALSE)</f>
        <v>kg</v>
      </c>
      <c r="F83" s="40">
        <v>0.01</v>
      </c>
      <c r="G83" s="40">
        <v>37</v>
      </c>
      <c r="H83" s="100">
        <f t="shared" si="0"/>
        <v>2.7027027027027027E-4</v>
      </c>
      <c r="I83" s="65">
        <f t="shared" si="4"/>
        <v>6000</v>
      </c>
      <c r="J83" s="101">
        <f t="shared" si="2"/>
        <v>1.6216216216216217</v>
      </c>
    </row>
    <row r="84" spans="2:10" ht="14.25" customHeight="1" x14ac:dyDescent="0.3">
      <c r="B84" s="40" t="s">
        <v>65</v>
      </c>
      <c r="C84" s="40" t="s">
        <v>62</v>
      </c>
      <c r="D84" s="40" t="s">
        <v>12</v>
      </c>
      <c r="E84" s="40" t="str">
        <f>+VLOOKUP(D84,'1) Planilla maestra insumos'!$B$3:$D$98,2,FALSE)</f>
        <v>unidades</v>
      </c>
      <c r="F84" s="40">
        <v>1</v>
      </c>
      <c r="G84" s="40">
        <v>1</v>
      </c>
      <c r="H84" s="100">
        <f t="shared" si="0"/>
        <v>1</v>
      </c>
      <c r="I84" s="65">
        <f t="shared" si="4"/>
        <v>1125</v>
      </c>
      <c r="J84" s="101">
        <f t="shared" si="2"/>
        <v>1125</v>
      </c>
    </row>
    <row r="85" spans="2:10" ht="14.25" customHeight="1" x14ac:dyDescent="0.3">
      <c r="B85" s="40" t="s">
        <v>65</v>
      </c>
      <c r="C85" s="40" t="s">
        <v>62</v>
      </c>
      <c r="D85" s="40" t="s">
        <v>41</v>
      </c>
      <c r="E85" s="40" t="str">
        <f>+VLOOKUP(D85,'1) Planilla maestra insumos'!$B$3:$D$98,2,FALSE)</f>
        <v>kg</v>
      </c>
      <c r="F85" s="40">
        <v>1.7999999999999999E-2</v>
      </c>
      <c r="G85" s="40">
        <v>1</v>
      </c>
      <c r="H85" s="100">
        <f t="shared" si="0"/>
        <v>1.7999999999999999E-2</v>
      </c>
      <c r="I85" s="65">
        <f t="shared" si="4"/>
        <v>30658.666666666668</v>
      </c>
      <c r="J85" s="101">
        <f t="shared" si="2"/>
        <v>551.85599999999999</v>
      </c>
    </row>
    <row r="86" spans="2:10" ht="14.25" customHeight="1" x14ac:dyDescent="0.3">
      <c r="B86" s="40" t="s">
        <v>66</v>
      </c>
      <c r="C86" s="40" t="s">
        <v>67</v>
      </c>
      <c r="D86" s="40" t="s">
        <v>40</v>
      </c>
      <c r="E86" s="40" t="str">
        <f>+VLOOKUP(D86,'1) Planilla maestra insumos'!$B$3:$D$98,2,FALSE)</f>
        <v>kg</v>
      </c>
      <c r="F86" s="40">
        <v>0.68799999999999994</v>
      </c>
      <c r="G86" s="40">
        <v>120</v>
      </c>
      <c r="H86" s="100">
        <f t="shared" si="0"/>
        <v>5.7333333333333325E-3</v>
      </c>
      <c r="I86" s="65">
        <f t="shared" si="4"/>
        <v>11006.6</v>
      </c>
      <c r="J86" s="101">
        <f t="shared" si="2"/>
        <v>63.104506666666659</v>
      </c>
    </row>
    <row r="87" spans="2:10" ht="14.25" customHeight="1" x14ac:dyDescent="0.3">
      <c r="B87" s="40" t="s">
        <v>66</v>
      </c>
      <c r="C87" s="40" t="s">
        <v>67</v>
      </c>
      <c r="D87" s="40" t="s">
        <v>6</v>
      </c>
      <c r="E87" s="40" t="str">
        <f>+VLOOKUP(D87,'1) Planilla maestra insumos'!$B$3:$D$98,2,FALSE)</f>
        <v>kg</v>
      </c>
      <c r="F87" s="40">
        <v>0.98399999999999999</v>
      </c>
      <c r="G87" s="40">
        <v>120</v>
      </c>
      <c r="H87" s="100">
        <f t="shared" si="0"/>
        <v>8.2000000000000007E-3</v>
      </c>
      <c r="I87" s="65">
        <f t="shared" si="4"/>
        <v>1263.5</v>
      </c>
      <c r="J87" s="101">
        <f t="shared" si="2"/>
        <v>10.360700000000001</v>
      </c>
    </row>
    <row r="88" spans="2:10" ht="14.25" customHeight="1" x14ac:dyDescent="0.3">
      <c r="B88" s="40" t="s">
        <v>66</v>
      </c>
      <c r="C88" s="40" t="s">
        <v>67</v>
      </c>
      <c r="D88" s="40" t="s">
        <v>8</v>
      </c>
      <c r="E88" s="40" t="str">
        <f>+VLOOKUP(D88,'1) Planilla maestra insumos'!$B$3:$D$98,2,FALSE)</f>
        <v>kg</v>
      </c>
      <c r="F88" s="40">
        <v>0.432</v>
      </c>
      <c r="G88" s="40">
        <v>120</v>
      </c>
      <c r="H88" s="100">
        <f t="shared" si="0"/>
        <v>3.5999999999999999E-3</v>
      </c>
      <c r="I88" s="65">
        <f t="shared" si="4"/>
        <v>3093.8</v>
      </c>
      <c r="J88" s="101">
        <f t="shared" si="2"/>
        <v>11.13768</v>
      </c>
    </row>
    <row r="89" spans="2:10" ht="14.25" customHeight="1" x14ac:dyDescent="0.3">
      <c r="B89" s="40" t="s">
        <v>66</v>
      </c>
      <c r="C89" s="40" t="s">
        <v>67</v>
      </c>
      <c r="D89" s="40" t="s">
        <v>36</v>
      </c>
      <c r="E89" s="40" t="str">
        <f>+VLOOKUP(D89,'1) Planilla maestra insumos'!$B$3:$D$98,2,FALSE)</f>
        <v>unidades</v>
      </c>
      <c r="F89" s="40">
        <v>7</v>
      </c>
      <c r="G89" s="40">
        <v>120</v>
      </c>
      <c r="H89" s="100">
        <f t="shared" si="0"/>
        <v>5.8333333333333334E-2</v>
      </c>
      <c r="I89" s="65">
        <f t="shared" si="4"/>
        <v>176.66666666666666</v>
      </c>
      <c r="J89" s="101">
        <f t="shared" si="2"/>
        <v>10.305555555555555</v>
      </c>
    </row>
    <row r="90" spans="2:10" ht="14.25" customHeight="1" x14ac:dyDescent="0.3">
      <c r="B90" s="40" t="s">
        <v>66</v>
      </c>
      <c r="C90" s="40" t="s">
        <v>67</v>
      </c>
      <c r="D90" s="40" t="s">
        <v>30</v>
      </c>
      <c r="E90" s="40" t="str">
        <f>+VLOOKUP(D90,'1) Planilla maestra insumos'!$B$3:$D$98,2,FALSE)</f>
        <v>Lt</v>
      </c>
      <c r="F90" s="100">
        <v>0.03</v>
      </c>
      <c r="G90" s="40">
        <v>120</v>
      </c>
      <c r="H90" s="100">
        <f t="shared" si="0"/>
        <v>2.5000000000000001E-4</v>
      </c>
      <c r="I90" s="65">
        <f t="shared" si="4"/>
        <v>26841.8</v>
      </c>
      <c r="J90" s="101">
        <f t="shared" si="2"/>
        <v>6.7104499999999998</v>
      </c>
    </row>
    <row r="91" spans="2:10" ht="14.25" customHeight="1" x14ac:dyDescent="0.3">
      <c r="B91" s="40" t="s">
        <v>66</v>
      </c>
      <c r="C91" s="40" t="s">
        <v>67</v>
      </c>
      <c r="D91" s="40" t="s">
        <v>35</v>
      </c>
      <c r="E91" s="40" t="str">
        <f>+VLOOKUP(D91,'1) Planilla maestra insumos'!$B$3:$D$98,2,FALSE)</f>
        <v>kg</v>
      </c>
      <c r="F91" s="40">
        <v>1.4359999999999999</v>
      </c>
      <c r="G91" s="40">
        <v>120</v>
      </c>
      <c r="H91" s="100">
        <f t="shared" si="0"/>
        <v>1.1966666666666665E-2</v>
      </c>
      <c r="I91" s="65">
        <f t="shared" si="4"/>
        <v>788</v>
      </c>
      <c r="J91" s="101">
        <f t="shared" si="2"/>
        <v>9.4297333333333331</v>
      </c>
    </row>
    <row r="92" spans="2:10" ht="14.25" customHeight="1" x14ac:dyDescent="0.3">
      <c r="B92" s="40" t="s">
        <v>66</v>
      </c>
      <c r="C92" s="40" t="s">
        <v>67</v>
      </c>
      <c r="D92" s="40" t="s">
        <v>34</v>
      </c>
      <c r="E92" s="40" t="str">
        <f>+VLOOKUP(D92,'1) Planilla maestra insumos'!$B$3:$D$98,2,FALSE)</f>
        <v>kg</v>
      </c>
      <c r="F92" s="40">
        <v>0.69599999999999995</v>
      </c>
      <c r="G92" s="40">
        <v>120</v>
      </c>
      <c r="H92" s="100">
        <f t="shared" si="0"/>
        <v>5.7999999999999996E-3</v>
      </c>
      <c r="I92" s="65">
        <f t="shared" si="4"/>
        <v>692</v>
      </c>
      <c r="J92" s="101">
        <f t="shared" si="2"/>
        <v>4.0135999999999994</v>
      </c>
    </row>
    <row r="93" spans="2:10" ht="14.25" customHeight="1" x14ac:dyDescent="0.3">
      <c r="B93" s="40" t="s">
        <v>66</v>
      </c>
      <c r="C93" s="40" t="s">
        <v>67</v>
      </c>
      <c r="D93" s="40" t="s">
        <v>23</v>
      </c>
      <c r="E93" s="40" t="str">
        <f>+VLOOKUP(D93,'1) Planilla maestra insumos'!$B$3:$D$98,2,FALSE)</f>
        <v>kg</v>
      </c>
      <c r="F93" s="40">
        <v>0.36</v>
      </c>
      <c r="G93" s="40">
        <v>120</v>
      </c>
      <c r="H93" s="100">
        <f t="shared" si="0"/>
        <v>3.0000000000000001E-3</v>
      </c>
      <c r="I93" s="65">
        <f t="shared" si="4"/>
        <v>10524.5</v>
      </c>
      <c r="J93" s="101">
        <f t="shared" si="2"/>
        <v>31.573499999999999</v>
      </c>
    </row>
    <row r="94" spans="2:10" ht="14.25" customHeight="1" x14ac:dyDescent="0.3">
      <c r="B94" s="40" t="s">
        <v>66</v>
      </c>
      <c r="C94" s="40" t="s">
        <v>67</v>
      </c>
      <c r="D94" s="40" t="s">
        <v>44</v>
      </c>
      <c r="E94" s="40" t="str">
        <f>+VLOOKUP(D94,'1) Planilla maestra insumos'!$B$3:$D$98,2,FALSE)</f>
        <v>kg</v>
      </c>
      <c r="F94" s="40">
        <v>0.03</v>
      </c>
      <c r="G94" s="40">
        <v>120</v>
      </c>
      <c r="H94" s="100">
        <f t="shared" si="0"/>
        <v>2.5000000000000001E-4</v>
      </c>
      <c r="I94" s="65">
        <f t="shared" si="4"/>
        <v>5455.333333333333</v>
      </c>
      <c r="J94" s="101">
        <f t="shared" si="2"/>
        <v>1.3638333333333332</v>
      </c>
    </row>
    <row r="95" spans="2:10" ht="14.25" customHeight="1" x14ac:dyDescent="0.3">
      <c r="B95" s="40" t="s">
        <v>66</v>
      </c>
      <c r="C95" s="40" t="s">
        <v>67</v>
      </c>
      <c r="D95" s="40" t="s">
        <v>11</v>
      </c>
      <c r="E95" s="40" t="str">
        <f>+VLOOKUP(D95,'1) Planilla maestra insumos'!$B$3:$D$98,2,FALSE)</f>
        <v>kg</v>
      </c>
      <c r="F95" s="40">
        <v>0.01</v>
      </c>
      <c r="G95" s="40">
        <v>120</v>
      </c>
      <c r="H95" s="100">
        <f t="shared" si="0"/>
        <v>8.3333333333333331E-5</v>
      </c>
      <c r="I95" s="65">
        <f t="shared" si="4"/>
        <v>6000</v>
      </c>
      <c r="J95" s="101">
        <f t="shared" si="2"/>
        <v>0.5</v>
      </c>
    </row>
    <row r="96" spans="2:10" ht="14.25" customHeight="1" x14ac:dyDescent="0.3">
      <c r="B96" s="40" t="s">
        <v>68</v>
      </c>
      <c r="C96" s="40" t="s">
        <v>67</v>
      </c>
      <c r="D96" s="40" t="s">
        <v>40</v>
      </c>
      <c r="E96" s="40" t="str">
        <f>+VLOOKUP(D96,'1) Planilla maestra insumos'!$B$3:$D$98,2,FALSE)</f>
        <v>kg</v>
      </c>
      <c r="F96" s="40">
        <v>0.8</v>
      </c>
      <c r="G96" s="40">
        <v>131</v>
      </c>
      <c r="H96" s="100">
        <f t="shared" si="0"/>
        <v>6.1068702290076335E-3</v>
      </c>
      <c r="I96" s="65">
        <f t="shared" si="4"/>
        <v>11006.6</v>
      </c>
      <c r="J96" s="101">
        <f t="shared" si="2"/>
        <v>67.21587786259542</v>
      </c>
    </row>
    <row r="97" spans="2:10" ht="14.25" customHeight="1" x14ac:dyDescent="0.3">
      <c r="B97" s="40" t="s">
        <v>68</v>
      </c>
      <c r="C97" s="40" t="s">
        <v>67</v>
      </c>
      <c r="D97" s="40" t="s">
        <v>6</v>
      </c>
      <c r="E97" s="40" t="str">
        <f>+VLOOKUP(D97,'1) Planilla maestra insumos'!$B$3:$D$98,2,FALSE)</f>
        <v>kg</v>
      </c>
      <c r="F97" s="40">
        <v>0.96</v>
      </c>
      <c r="G97" s="40">
        <v>131</v>
      </c>
      <c r="H97" s="100">
        <f t="shared" si="0"/>
        <v>7.3282442748091601E-3</v>
      </c>
      <c r="I97" s="65">
        <f t="shared" si="4"/>
        <v>1263.5</v>
      </c>
      <c r="J97" s="101">
        <f t="shared" si="2"/>
        <v>9.2592366412213742</v>
      </c>
    </row>
    <row r="98" spans="2:10" ht="20.25" customHeight="1" x14ac:dyDescent="0.3">
      <c r="B98" s="40" t="s">
        <v>68</v>
      </c>
      <c r="C98" s="40" t="s">
        <v>67</v>
      </c>
      <c r="D98" s="40" t="s">
        <v>8</v>
      </c>
      <c r="E98" s="40" t="str">
        <f>+VLOOKUP(D98,'1) Planilla maestra insumos'!$B$3:$D$98,2,FALSE)</f>
        <v>kg</v>
      </c>
      <c r="F98" s="40">
        <v>0.36</v>
      </c>
      <c r="G98" s="40">
        <v>131</v>
      </c>
      <c r="H98" s="100">
        <f t="shared" si="0"/>
        <v>2.7480916030534351E-3</v>
      </c>
      <c r="I98" s="65">
        <f t="shared" si="4"/>
        <v>3093.8</v>
      </c>
      <c r="J98" s="101">
        <f t="shared" si="2"/>
        <v>8.5020458015267177</v>
      </c>
    </row>
    <row r="99" spans="2:10" ht="14.25" customHeight="1" x14ac:dyDescent="0.3">
      <c r="B99" s="40" t="s">
        <v>68</v>
      </c>
      <c r="C99" s="40" t="s">
        <v>67</v>
      </c>
      <c r="D99" s="40" t="s">
        <v>36</v>
      </c>
      <c r="E99" s="40" t="str">
        <f>+VLOOKUP(D99,'1) Planilla maestra insumos'!$B$3:$D$98,2,FALSE)</f>
        <v>unidades</v>
      </c>
      <c r="F99" s="40">
        <v>8</v>
      </c>
      <c r="G99" s="40">
        <v>131</v>
      </c>
      <c r="H99" s="100">
        <f t="shared" si="0"/>
        <v>6.1068702290076333E-2</v>
      </c>
      <c r="I99" s="65">
        <f t="shared" ref="I99:I130" si="5">+VLOOKUP(D99,Insumos,5,FALSE)</f>
        <v>176.66666666666666</v>
      </c>
      <c r="J99" s="101">
        <f t="shared" si="2"/>
        <v>10.788804071246819</v>
      </c>
    </row>
    <row r="100" spans="2:10" ht="14.25" customHeight="1" x14ac:dyDescent="0.3">
      <c r="B100" s="40" t="s">
        <v>68</v>
      </c>
      <c r="C100" s="40" t="s">
        <v>67</v>
      </c>
      <c r="D100" s="40" t="s">
        <v>35</v>
      </c>
      <c r="E100" s="40" t="str">
        <f>+VLOOKUP(D100,'1) Planilla maestra insumos'!$B$3:$D$98,2,FALSE)</f>
        <v>kg</v>
      </c>
      <c r="F100" s="40">
        <v>1.03</v>
      </c>
      <c r="G100" s="40">
        <v>131</v>
      </c>
      <c r="H100" s="100">
        <f t="shared" si="0"/>
        <v>7.8625954198473288E-3</v>
      </c>
      <c r="I100" s="65">
        <f t="shared" si="5"/>
        <v>788</v>
      </c>
      <c r="J100" s="101">
        <f t="shared" si="2"/>
        <v>6.1957251908396946</v>
      </c>
    </row>
    <row r="101" spans="2:10" ht="14.25" customHeight="1" x14ac:dyDescent="0.3">
      <c r="B101" s="40" t="s">
        <v>68</v>
      </c>
      <c r="C101" s="40" t="s">
        <v>67</v>
      </c>
      <c r="D101" s="40" t="s">
        <v>34</v>
      </c>
      <c r="E101" s="40" t="str">
        <f>+VLOOKUP(D101,'1) Planilla maestra insumos'!$B$3:$D$98,2,FALSE)</f>
        <v>kg</v>
      </c>
      <c r="F101" s="40">
        <v>0.6</v>
      </c>
      <c r="G101" s="40">
        <v>131</v>
      </c>
      <c r="H101" s="100">
        <f t="shared" si="0"/>
        <v>4.5801526717557254E-3</v>
      </c>
      <c r="I101" s="65">
        <f t="shared" si="5"/>
        <v>692</v>
      </c>
      <c r="J101" s="101">
        <f t="shared" si="2"/>
        <v>3.169465648854962</v>
      </c>
    </row>
    <row r="102" spans="2:10" ht="14.25" customHeight="1" x14ac:dyDescent="0.3">
      <c r="B102" s="40" t="s">
        <v>68</v>
      </c>
      <c r="C102" s="40" t="s">
        <v>67</v>
      </c>
      <c r="D102" s="40" t="s">
        <v>17</v>
      </c>
      <c r="E102" s="40" t="str">
        <f>+VLOOKUP(D102,'1) Planilla maestra insumos'!$B$3:$D$98,2,FALSE)</f>
        <v>kg</v>
      </c>
      <c r="F102" s="40">
        <v>0.224</v>
      </c>
      <c r="G102" s="40">
        <v>131</v>
      </c>
      <c r="H102" s="100">
        <f t="shared" si="0"/>
        <v>1.7099236641221374E-3</v>
      </c>
      <c r="I102" s="65">
        <f t="shared" si="5"/>
        <v>23680</v>
      </c>
      <c r="J102" s="101">
        <f t="shared" si="2"/>
        <v>40.490992366412215</v>
      </c>
    </row>
    <row r="103" spans="2:10" ht="14.25" customHeight="1" x14ac:dyDescent="0.3">
      <c r="B103" s="40" t="s">
        <v>68</v>
      </c>
      <c r="C103" s="40" t="s">
        <v>67</v>
      </c>
      <c r="D103" s="40" t="s">
        <v>11</v>
      </c>
      <c r="E103" s="40" t="str">
        <f>+VLOOKUP(D103,'1) Planilla maestra insumos'!$B$3:$D$98,2,FALSE)</f>
        <v>kg</v>
      </c>
      <c r="F103" s="40">
        <v>1.2E-2</v>
      </c>
      <c r="G103" s="40">
        <v>131</v>
      </c>
      <c r="H103" s="100">
        <f t="shared" si="0"/>
        <v>9.1603053435114512E-5</v>
      </c>
      <c r="I103" s="65">
        <f t="shared" si="5"/>
        <v>6000</v>
      </c>
      <c r="J103" s="101">
        <f t="shared" si="2"/>
        <v>0.54961832061068705</v>
      </c>
    </row>
    <row r="104" spans="2:10" ht="14.25" customHeight="1" x14ac:dyDescent="0.3">
      <c r="B104" s="40" t="s">
        <v>68</v>
      </c>
      <c r="C104" s="40" t="s">
        <v>67</v>
      </c>
      <c r="D104" s="40" t="s">
        <v>44</v>
      </c>
      <c r="E104" s="40" t="str">
        <f>+VLOOKUP(D104,'1) Planilla maestra insumos'!$B$3:$D$98,2,FALSE)</f>
        <v>kg</v>
      </c>
      <c r="F104" s="40">
        <v>0.02</v>
      </c>
      <c r="G104" s="40">
        <v>131</v>
      </c>
      <c r="H104" s="100">
        <f t="shared" si="0"/>
        <v>1.5267175572519084E-4</v>
      </c>
      <c r="I104" s="65">
        <f t="shared" si="5"/>
        <v>5455.333333333333</v>
      </c>
      <c r="J104" s="101">
        <f t="shared" si="2"/>
        <v>0.83287531806615778</v>
      </c>
    </row>
    <row r="105" spans="2:10" ht="14.25" customHeight="1" x14ac:dyDescent="0.3">
      <c r="B105" s="40" t="s">
        <v>68</v>
      </c>
      <c r="C105" s="40" t="s">
        <v>67</v>
      </c>
      <c r="D105" s="40" t="s">
        <v>48</v>
      </c>
      <c r="E105" s="40" t="str">
        <f>+VLOOKUP(D105,'1) Planilla maestra insumos'!$B$3:$D$98,2,FALSE)</f>
        <v>Lt</v>
      </c>
      <c r="F105" s="40">
        <v>2.4E-2</v>
      </c>
      <c r="G105" s="40">
        <v>131</v>
      </c>
      <c r="H105" s="100">
        <f t="shared" si="0"/>
        <v>1.8320610687022902E-4</v>
      </c>
      <c r="I105" s="65">
        <f t="shared" si="5"/>
        <v>1000</v>
      </c>
      <c r="J105" s="101">
        <f t="shared" si="2"/>
        <v>0.18320610687022904</v>
      </c>
    </row>
    <row r="106" spans="2:10" ht="14.25" customHeight="1" x14ac:dyDescent="0.3">
      <c r="B106" s="40" t="s">
        <v>68</v>
      </c>
      <c r="C106" s="40" t="s">
        <v>67</v>
      </c>
      <c r="D106" s="40" t="s">
        <v>42</v>
      </c>
      <c r="E106" s="40" t="str">
        <f>+VLOOKUP(D106,'1) Planilla maestra insumos'!$B$3:$D$98,2,FALSE)</f>
        <v>kg</v>
      </c>
      <c r="F106" s="40">
        <v>0.24</v>
      </c>
      <c r="G106" s="40">
        <v>131</v>
      </c>
      <c r="H106" s="100">
        <f t="shared" si="0"/>
        <v>1.83206106870229E-3</v>
      </c>
      <c r="I106" s="65">
        <f t="shared" si="5"/>
        <v>10043.799999999999</v>
      </c>
      <c r="J106" s="101">
        <f t="shared" si="2"/>
        <v>18.40085496183206</v>
      </c>
    </row>
    <row r="107" spans="2:10" ht="14.25" customHeight="1" x14ac:dyDescent="0.3">
      <c r="B107" s="40" t="s">
        <v>68</v>
      </c>
      <c r="C107" s="40" t="s">
        <v>67</v>
      </c>
      <c r="D107" s="40" t="s">
        <v>22</v>
      </c>
      <c r="E107" s="40" t="str">
        <f>+VLOOKUP(D107,'1) Planilla maestra insumos'!$B$3:$D$98,2,FALSE)</f>
        <v>kg</v>
      </c>
      <c r="F107" s="40">
        <v>0.36</v>
      </c>
      <c r="G107" s="40">
        <v>131</v>
      </c>
      <c r="H107" s="100">
        <f t="shared" si="0"/>
        <v>2.7480916030534351E-3</v>
      </c>
      <c r="I107" s="65">
        <f t="shared" si="5"/>
        <v>10524.5</v>
      </c>
      <c r="J107" s="101">
        <f t="shared" si="2"/>
        <v>28.922290076335877</v>
      </c>
    </row>
    <row r="108" spans="2:10" ht="14.25" customHeight="1" x14ac:dyDescent="0.3">
      <c r="B108" s="40" t="s">
        <v>69</v>
      </c>
      <c r="C108" s="40" t="s">
        <v>67</v>
      </c>
      <c r="D108" s="40" t="s">
        <v>40</v>
      </c>
      <c r="E108" s="40" t="str">
        <f>+VLOOKUP(D108,'1) Planilla maestra insumos'!$B$3:$D$98,2,FALSE)</f>
        <v>kg</v>
      </c>
      <c r="F108" s="40">
        <v>0.68799999999999994</v>
      </c>
      <c r="G108" s="40">
        <v>117</v>
      </c>
      <c r="H108" s="100">
        <f t="shared" si="0"/>
        <v>5.88034188034188E-3</v>
      </c>
      <c r="I108" s="65">
        <f t="shared" si="5"/>
        <v>11006.6</v>
      </c>
      <c r="J108" s="101">
        <f t="shared" si="2"/>
        <v>64.722570940170939</v>
      </c>
    </row>
    <row r="109" spans="2:10" ht="14.25" customHeight="1" x14ac:dyDescent="0.3">
      <c r="B109" s="40" t="s">
        <v>69</v>
      </c>
      <c r="C109" s="40" t="s">
        <v>67</v>
      </c>
      <c r="D109" s="40" t="s">
        <v>6</v>
      </c>
      <c r="E109" s="40" t="str">
        <f>+VLOOKUP(D109,'1) Planilla maestra insumos'!$B$3:$D$98,2,FALSE)</f>
        <v>kg</v>
      </c>
      <c r="F109" s="40">
        <v>0.98399999999999999</v>
      </c>
      <c r="G109" s="40">
        <v>117</v>
      </c>
      <c r="H109" s="100">
        <f t="shared" si="0"/>
        <v>8.4102564102564101E-3</v>
      </c>
      <c r="I109" s="65">
        <f t="shared" si="5"/>
        <v>1263.5</v>
      </c>
      <c r="J109" s="101">
        <f t="shared" si="2"/>
        <v>10.626358974358974</v>
      </c>
    </row>
    <row r="110" spans="2:10" ht="14.25" customHeight="1" x14ac:dyDescent="0.3">
      <c r="B110" s="40" t="s">
        <v>69</v>
      </c>
      <c r="C110" s="40" t="s">
        <v>67</v>
      </c>
      <c r="D110" s="40" t="s">
        <v>8</v>
      </c>
      <c r="E110" s="40" t="str">
        <f>+VLOOKUP(D110,'1) Planilla maestra insumos'!$B$3:$D$98,2,FALSE)</f>
        <v>kg</v>
      </c>
      <c r="F110" s="40">
        <v>0.432</v>
      </c>
      <c r="G110" s="40">
        <v>117</v>
      </c>
      <c r="H110" s="100">
        <f t="shared" si="0"/>
        <v>3.6923076923076922E-3</v>
      </c>
      <c r="I110" s="65">
        <f t="shared" si="5"/>
        <v>3093.8</v>
      </c>
      <c r="J110" s="101">
        <f t="shared" si="2"/>
        <v>11.423261538461539</v>
      </c>
    </row>
    <row r="111" spans="2:10" ht="14.25" customHeight="1" x14ac:dyDescent="0.3">
      <c r="B111" s="40" t="s">
        <v>69</v>
      </c>
      <c r="C111" s="40" t="s">
        <v>67</v>
      </c>
      <c r="D111" s="40" t="s">
        <v>38</v>
      </c>
      <c r="E111" s="40" t="str">
        <f>+VLOOKUP(D111,'1) Planilla maestra insumos'!$B$3:$D$98,2,FALSE)</f>
        <v>kg</v>
      </c>
      <c r="F111" s="40">
        <v>0.24</v>
      </c>
      <c r="G111" s="40">
        <v>117</v>
      </c>
      <c r="H111" s="100">
        <f t="shared" si="0"/>
        <v>2.0512820512820513E-3</v>
      </c>
      <c r="I111" s="65">
        <f t="shared" si="5"/>
        <v>8000</v>
      </c>
      <c r="J111" s="101">
        <f t="shared" si="2"/>
        <v>16.410256410256409</v>
      </c>
    </row>
    <row r="112" spans="2:10" ht="14.25" customHeight="1" x14ac:dyDescent="0.3">
      <c r="B112" s="40" t="s">
        <v>69</v>
      </c>
      <c r="C112" s="40" t="s">
        <v>67</v>
      </c>
      <c r="D112" s="40" t="s">
        <v>36</v>
      </c>
      <c r="E112" s="40" t="str">
        <f>+VLOOKUP(D112,'1) Planilla maestra insumos'!$B$3:$D$98,2,FALSE)</f>
        <v>unidades</v>
      </c>
      <c r="F112" s="40">
        <v>4</v>
      </c>
      <c r="G112" s="40">
        <v>117</v>
      </c>
      <c r="H112" s="100">
        <f t="shared" si="0"/>
        <v>3.4188034188034191E-2</v>
      </c>
      <c r="I112" s="65">
        <f t="shared" si="5"/>
        <v>176.66666666666666</v>
      </c>
      <c r="J112" s="101">
        <f t="shared" si="2"/>
        <v>6.0398860398860403</v>
      </c>
    </row>
    <row r="113" spans="2:10" ht="14.25" customHeight="1" x14ac:dyDescent="0.3">
      <c r="B113" s="40" t="s">
        <v>69</v>
      </c>
      <c r="C113" s="40" t="s">
        <v>67</v>
      </c>
      <c r="D113" s="40" t="s">
        <v>35</v>
      </c>
      <c r="E113" s="40" t="str">
        <f>+VLOOKUP(D113,'1) Planilla maestra insumos'!$B$3:$D$98,2,FALSE)</f>
        <v>kg</v>
      </c>
      <c r="F113" s="40">
        <v>1.1919999999999999</v>
      </c>
      <c r="G113" s="40">
        <v>117</v>
      </c>
      <c r="H113" s="100">
        <f t="shared" si="0"/>
        <v>1.0188034188034188E-2</v>
      </c>
      <c r="I113" s="65">
        <f t="shared" si="5"/>
        <v>788</v>
      </c>
      <c r="J113" s="101">
        <f t="shared" si="2"/>
        <v>8.0281709401709396</v>
      </c>
    </row>
    <row r="114" spans="2:10" ht="14.25" customHeight="1" x14ac:dyDescent="0.3">
      <c r="B114" s="40" t="s">
        <v>69</v>
      </c>
      <c r="C114" s="40" t="s">
        <v>67</v>
      </c>
      <c r="D114" s="40" t="s">
        <v>34</v>
      </c>
      <c r="E114" s="40" t="str">
        <f>+VLOOKUP(D114,'1) Planilla maestra insumos'!$B$3:$D$98,2,FALSE)</f>
        <v>kg</v>
      </c>
      <c r="F114" s="40">
        <v>0.73</v>
      </c>
      <c r="G114" s="40">
        <v>117</v>
      </c>
      <c r="H114" s="100">
        <f t="shared" si="0"/>
        <v>6.2393162393162395E-3</v>
      </c>
      <c r="I114" s="65">
        <f t="shared" si="5"/>
        <v>692</v>
      </c>
      <c r="J114" s="101">
        <f t="shared" si="2"/>
        <v>4.3176068376068377</v>
      </c>
    </row>
    <row r="115" spans="2:10" ht="14.25" customHeight="1" x14ac:dyDescent="0.3">
      <c r="B115" s="40" t="s">
        <v>69</v>
      </c>
      <c r="C115" s="40" t="s">
        <v>67</v>
      </c>
      <c r="D115" s="40" t="s">
        <v>44</v>
      </c>
      <c r="E115" s="40" t="str">
        <f>+VLOOKUP(D115,'1) Planilla maestra insumos'!$B$3:$D$98,2,FALSE)</f>
        <v>kg</v>
      </c>
      <c r="F115" s="40">
        <v>0.03</v>
      </c>
      <c r="G115" s="40">
        <v>117</v>
      </c>
      <c r="H115" s="100">
        <f t="shared" si="0"/>
        <v>2.5641025641025641E-4</v>
      </c>
      <c r="I115" s="65">
        <f t="shared" si="5"/>
        <v>5455.333333333333</v>
      </c>
      <c r="J115" s="101">
        <f t="shared" si="2"/>
        <v>1.3988034188034186</v>
      </c>
    </row>
    <row r="116" spans="2:10" ht="14.25" customHeight="1" x14ac:dyDescent="0.3">
      <c r="B116" s="40" t="s">
        <v>69</v>
      </c>
      <c r="C116" s="40" t="s">
        <v>67</v>
      </c>
      <c r="D116" s="40" t="s">
        <v>11</v>
      </c>
      <c r="E116" s="40" t="str">
        <f>+VLOOKUP(D116,'1) Planilla maestra insumos'!$B$3:$D$98,2,FALSE)</f>
        <v>kg</v>
      </c>
      <c r="F116" s="40">
        <v>0.01</v>
      </c>
      <c r="G116" s="40">
        <v>117</v>
      </c>
      <c r="H116" s="100">
        <f t="shared" si="0"/>
        <v>8.547008547008547E-5</v>
      </c>
      <c r="I116" s="65">
        <f t="shared" si="5"/>
        <v>6000</v>
      </c>
      <c r="J116" s="101">
        <f t="shared" si="2"/>
        <v>0.51282051282051277</v>
      </c>
    </row>
    <row r="117" spans="2:10" ht="14.25" customHeight="1" x14ac:dyDescent="0.3">
      <c r="B117" s="40" t="s">
        <v>69</v>
      </c>
      <c r="C117" s="40" t="s">
        <v>67</v>
      </c>
      <c r="D117" s="40" t="s">
        <v>39</v>
      </c>
      <c r="E117" s="40" t="str">
        <f>+VLOOKUP(D117,'1) Planilla maestra insumos'!$B$3:$D$98,2,FALSE)</f>
        <v>kg</v>
      </c>
      <c r="F117" s="40">
        <f>240/1000</f>
        <v>0.24</v>
      </c>
      <c r="G117" s="40">
        <v>117</v>
      </c>
      <c r="H117" s="100">
        <f t="shared" si="0"/>
        <v>2.0512820512820513E-3</v>
      </c>
      <c r="I117" s="65">
        <f t="shared" si="5"/>
        <v>8000</v>
      </c>
      <c r="J117" s="101">
        <f t="shared" si="2"/>
        <v>16.410256410256409</v>
      </c>
    </row>
    <row r="118" spans="2:10" ht="14.25" customHeight="1" x14ac:dyDescent="0.3">
      <c r="B118" s="40" t="s">
        <v>69</v>
      </c>
      <c r="C118" s="40" t="s">
        <v>67</v>
      </c>
      <c r="D118" s="40" t="s">
        <v>46</v>
      </c>
      <c r="E118" s="40" t="str">
        <f>+VLOOKUP(D118,'1) Planilla maestra insumos'!$B$3:$D$98,2,FALSE)</f>
        <v>kg</v>
      </c>
      <c r="F118" s="40">
        <v>6.4000000000000001E-2</v>
      </c>
      <c r="G118" s="40">
        <v>117</v>
      </c>
      <c r="H118" s="100">
        <f t="shared" si="0"/>
        <v>5.4700854700854705E-4</v>
      </c>
      <c r="I118" s="65">
        <f t="shared" si="5"/>
        <v>13526</v>
      </c>
      <c r="J118" s="101">
        <f t="shared" si="2"/>
        <v>7.3988376068376072</v>
      </c>
    </row>
    <row r="119" spans="2:10" ht="14.25" customHeight="1" x14ac:dyDescent="0.3">
      <c r="B119" s="40" t="s">
        <v>70</v>
      </c>
      <c r="C119" s="40" t="s">
        <v>67</v>
      </c>
      <c r="D119" s="40" t="s">
        <v>40</v>
      </c>
      <c r="E119" s="40" t="str">
        <f>+VLOOKUP(D119,'1) Planilla maestra insumos'!$B$3:$D$98,2,FALSE)</f>
        <v>kg</v>
      </c>
      <c r="F119" s="40">
        <v>0.76</v>
      </c>
      <c r="G119" s="40">
        <v>117</v>
      </c>
      <c r="H119" s="100">
        <f t="shared" si="0"/>
        <v>6.4957264957264957E-3</v>
      </c>
      <c r="I119" s="65">
        <f t="shared" si="5"/>
        <v>11006.6</v>
      </c>
      <c r="J119" s="101">
        <f t="shared" si="2"/>
        <v>71.495863247863255</v>
      </c>
    </row>
    <row r="120" spans="2:10" ht="14.25" customHeight="1" x14ac:dyDescent="0.3">
      <c r="B120" s="40" t="s">
        <v>70</v>
      </c>
      <c r="C120" s="40" t="s">
        <v>67</v>
      </c>
      <c r="D120" s="40" t="s">
        <v>6</v>
      </c>
      <c r="E120" s="40" t="str">
        <f>+VLOOKUP(D120,'1) Planilla maestra insumos'!$B$3:$D$98,2,FALSE)</f>
        <v>kg</v>
      </c>
      <c r="F120" s="40">
        <v>0.94399999999999995</v>
      </c>
      <c r="G120" s="40">
        <v>117</v>
      </c>
      <c r="H120" s="100">
        <f t="shared" si="0"/>
        <v>8.0683760683760673E-3</v>
      </c>
      <c r="I120" s="65">
        <f t="shared" si="5"/>
        <v>1263.5</v>
      </c>
      <c r="J120" s="101">
        <f t="shared" si="2"/>
        <v>10.194393162393162</v>
      </c>
    </row>
    <row r="121" spans="2:10" ht="14.25" customHeight="1" x14ac:dyDescent="0.3">
      <c r="B121" s="40" t="s">
        <v>70</v>
      </c>
      <c r="C121" s="40" t="s">
        <v>67</v>
      </c>
      <c r="D121" s="40" t="s">
        <v>8</v>
      </c>
      <c r="E121" s="40" t="str">
        <f>+VLOOKUP(D121,'1) Planilla maestra insumos'!$B$3:$D$98,2,FALSE)</f>
        <v>kg</v>
      </c>
      <c r="F121" s="40">
        <v>0.4</v>
      </c>
      <c r="G121" s="40">
        <v>117</v>
      </c>
      <c r="H121" s="100">
        <f t="shared" si="0"/>
        <v>3.4188034188034188E-3</v>
      </c>
      <c r="I121" s="65">
        <f t="shared" si="5"/>
        <v>3093.8</v>
      </c>
      <c r="J121" s="101">
        <f t="shared" si="2"/>
        <v>10.577094017094018</v>
      </c>
    </row>
    <row r="122" spans="2:10" ht="14.25" customHeight="1" x14ac:dyDescent="0.3">
      <c r="B122" s="40" t="s">
        <v>70</v>
      </c>
      <c r="C122" s="40" t="s">
        <v>67</v>
      </c>
      <c r="D122" s="40" t="s">
        <v>36</v>
      </c>
      <c r="E122" s="40" t="str">
        <f>+VLOOKUP(D122,'1) Planilla maestra insumos'!$B$3:$D$98,2,FALSE)</f>
        <v>unidades</v>
      </c>
      <c r="F122" s="40">
        <v>8</v>
      </c>
      <c r="G122" s="40">
        <v>117</v>
      </c>
      <c r="H122" s="100">
        <f t="shared" si="0"/>
        <v>6.8376068376068383E-2</v>
      </c>
      <c r="I122" s="65">
        <f t="shared" si="5"/>
        <v>176.66666666666666</v>
      </c>
      <c r="J122" s="101">
        <f t="shared" si="2"/>
        <v>12.079772079772081</v>
      </c>
    </row>
    <row r="123" spans="2:10" ht="14.25" customHeight="1" x14ac:dyDescent="0.3">
      <c r="B123" s="40" t="s">
        <v>70</v>
      </c>
      <c r="C123" s="40" t="s">
        <v>67</v>
      </c>
      <c r="D123" s="40" t="s">
        <v>35</v>
      </c>
      <c r="E123" s="40" t="str">
        <f>+VLOOKUP(D123,'1) Planilla maestra insumos'!$B$3:$D$98,2,FALSE)</f>
        <v>kg</v>
      </c>
      <c r="F123" s="40">
        <v>1</v>
      </c>
      <c r="G123" s="40">
        <v>117</v>
      </c>
      <c r="H123" s="100">
        <f t="shared" si="0"/>
        <v>8.5470085470085479E-3</v>
      </c>
      <c r="I123" s="65">
        <f t="shared" si="5"/>
        <v>788</v>
      </c>
      <c r="J123" s="101">
        <f t="shared" si="2"/>
        <v>6.735042735042736</v>
      </c>
    </row>
    <row r="124" spans="2:10" ht="14.25" customHeight="1" x14ac:dyDescent="0.3">
      <c r="B124" s="40" t="s">
        <v>70</v>
      </c>
      <c r="C124" s="40" t="s">
        <v>67</v>
      </c>
      <c r="D124" s="40" t="s">
        <v>34</v>
      </c>
      <c r="E124" s="40" t="str">
        <f>+VLOOKUP(D124,'1) Planilla maestra insumos'!$B$3:$D$98,2,FALSE)</f>
        <v>kg</v>
      </c>
      <c r="F124" s="40">
        <v>0.63</v>
      </c>
      <c r="G124" s="40">
        <v>117</v>
      </c>
      <c r="H124" s="100">
        <f t="shared" si="0"/>
        <v>5.3846153846153844E-3</v>
      </c>
      <c r="I124" s="65">
        <f t="shared" si="5"/>
        <v>692</v>
      </c>
      <c r="J124" s="101">
        <f t="shared" si="2"/>
        <v>3.7261538461538461</v>
      </c>
    </row>
    <row r="125" spans="2:10" ht="14.25" customHeight="1" x14ac:dyDescent="0.3">
      <c r="B125" s="40" t="s">
        <v>70</v>
      </c>
      <c r="C125" s="40" t="s">
        <v>67</v>
      </c>
      <c r="D125" s="40" t="s">
        <v>18</v>
      </c>
      <c r="E125" s="40" t="str">
        <f>+VLOOKUP(D125,'1) Planilla maestra insumos'!$B$3:$D$98,2,FALSE)</f>
        <v>kg</v>
      </c>
      <c r="F125" s="40">
        <v>0.08</v>
      </c>
      <c r="G125" s="40">
        <v>117</v>
      </c>
      <c r="H125" s="100">
        <f t="shared" si="0"/>
        <v>6.8376068376068376E-4</v>
      </c>
      <c r="I125" s="65">
        <f t="shared" si="5"/>
        <v>23970</v>
      </c>
      <c r="J125" s="101">
        <f t="shared" si="2"/>
        <v>16.389743589743588</v>
      </c>
    </row>
    <row r="126" spans="2:10" ht="14.25" customHeight="1" x14ac:dyDescent="0.3">
      <c r="B126" s="40" t="s">
        <v>70</v>
      </c>
      <c r="C126" s="40" t="s">
        <v>67</v>
      </c>
      <c r="D126" s="40" t="s">
        <v>11</v>
      </c>
      <c r="E126" s="40" t="str">
        <f>+VLOOKUP(D126,'1) Planilla maestra insumos'!$B$3:$D$98,2,FALSE)</f>
        <v>kg</v>
      </c>
      <c r="F126" s="40">
        <v>1.2E-2</v>
      </c>
      <c r="G126" s="40">
        <v>117</v>
      </c>
      <c r="H126" s="100">
        <f t="shared" si="0"/>
        <v>1.0256410256410257E-4</v>
      </c>
      <c r="I126" s="65">
        <f t="shared" si="5"/>
        <v>6000</v>
      </c>
      <c r="J126" s="101">
        <f t="shared" si="2"/>
        <v>0.61538461538461542</v>
      </c>
    </row>
    <row r="127" spans="2:10" ht="14.25" customHeight="1" x14ac:dyDescent="0.3">
      <c r="B127" s="40" t="s">
        <v>70</v>
      </c>
      <c r="C127" s="40" t="s">
        <v>67</v>
      </c>
      <c r="D127" s="40" t="s">
        <v>48</v>
      </c>
      <c r="E127" s="40" t="str">
        <f>+VLOOKUP(D127,'1) Planilla maestra insumos'!$B$3:$D$98,2,FALSE)</f>
        <v>Lt</v>
      </c>
      <c r="F127" s="40">
        <v>8.9999999999999993E-3</v>
      </c>
      <c r="G127" s="40">
        <v>117</v>
      </c>
      <c r="H127" s="100">
        <f t="shared" si="0"/>
        <v>7.6923076923076912E-5</v>
      </c>
      <c r="I127" s="65">
        <f t="shared" si="5"/>
        <v>1000</v>
      </c>
      <c r="J127" s="101">
        <f t="shared" si="2"/>
        <v>7.6923076923076913E-2</v>
      </c>
    </row>
    <row r="128" spans="2:10" ht="14.25" customHeight="1" x14ac:dyDescent="0.3">
      <c r="B128" s="40" t="s">
        <v>70</v>
      </c>
      <c r="C128" s="40" t="s">
        <v>67</v>
      </c>
      <c r="D128" s="40" t="s">
        <v>30</v>
      </c>
      <c r="E128" s="40" t="str">
        <f>+VLOOKUP(D128,'1) Planilla maestra insumos'!$B$3:$D$98,2,FALSE)</f>
        <v>Lt</v>
      </c>
      <c r="F128" s="40">
        <v>1.4999999999999999E-2</v>
      </c>
      <c r="G128" s="40">
        <v>117</v>
      </c>
      <c r="H128" s="100">
        <f t="shared" si="0"/>
        <v>1.2820512820512821E-4</v>
      </c>
      <c r="I128" s="65">
        <f t="shared" si="5"/>
        <v>26841.8</v>
      </c>
      <c r="J128" s="101">
        <f t="shared" si="2"/>
        <v>3.4412564102564103</v>
      </c>
    </row>
    <row r="129" spans="2:10" ht="14.25" customHeight="1" x14ac:dyDescent="0.3">
      <c r="B129" s="40" t="s">
        <v>70</v>
      </c>
      <c r="C129" s="40" t="s">
        <v>67</v>
      </c>
      <c r="D129" s="40" t="s">
        <v>22</v>
      </c>
      <c r="E129" s="40" t="str">
        <f>+VLOOKUP(D129,'1) Planilla maestra insumos'!$B$3:$D$98,2,FALSE)</f>
        <v>kg</v>
      </c>
      <c r="F129" s="40">
        <v>0.36</v>
      </c>
      <c r="G129" s="40">
        <v>117</v>
      </c>
      <c r="H129" s="100">
        <f t="shared" si="0"/>
        <v>3.0769230769230769E-3</v>
      </c>
      <c r="I129" s="65">
        <f t="shared" si="5"/>
        <v>10524.5</v>
      </c>
      <c r="J129" s="101">
        <f t="shared" si="2"/>
        <v>32.383076923076921</v>
      </c>
    </row>
    <row r="130" spans="2:10" ht="14.25" customHeight="1" x14ac:dyDescent="0.3">
      <c r="B130" s="40" t="s">
        <v>70</v>
      </c>
      <c r="C130" s="40" t="s">
        <v>67</v>
      </c>
      <c r="D130" s="40" t="s">
        <v>26</v>
      </c>
      <c r="E130" s="40" t="str">
        <f>+VLOOKUP(D130,'1) Planilla maestra insumos'!$B$3:$D$98,2,FALSE)</f>
        <v>gr</v>
      </c>
      <c r="F130" s="40">
        <v>15</v>
      </c>
      <c r="G130" s="40">
        <v>117</v>
      </c>
      <c r="H130" s="100">
        <f t="shared" si="0"/>
        <v>0.12820512820512819</v>
      </c>
      <c r="I130" s="65">
        <f t="shared" si="5"/>
        <v>73.333333333333329</v>
      </c>
      <c r="J130" s="101">
        <f t="shared" si="2"/>
        <v>9.4017094017094003</v>
      </c>
    </row>
    <row r="131" spans="2:10" ht="14.25" customHeight="1" x14ac:dyDescent="0.3">
      <c r="B131" s="40" t="s">
        <v>70</v>
      </c>
      <c r="C131" s="40" t="s">
        <v>67</v>
      </c>
      <c r="D131" s="40" t="s">
        <v>44</v>
      </c>
      <c r="E131" s="40" t="str">
        <f>+VLOOKUP(D131,'1) Planilla maestra insumos'!$B$3:$D$98,2,FALSE)</f>
        <v>kg</v>
      </c>
      <c r="F131" s="40">
        <v>0.02</v>
      </c>
      <c r="G131" s="40">
        <v>117</v>
      </c>
      <c r="H131" s="100">
        <f t="shared" si="0"/>
        <v>1.7094017094017094E-4</v>
      </c>
      <c r="I131" s="65">
        <f t="shared" ref="I131:I159" si="6">+VLOOKUP(D131,Insumos,5,FALSE)</f>
        <v>5455.333333333333</v>
      </c>
      <c r="J131" s="101">
        <f t="shared" si="2"/>
        <v>0.93253561253561246</v>
      </c>
    </row>
    <row r="132" spans="2:10" ht="14.25" customHeight="1" x14ac:dyDescent="0.3">
      <c r="B132" s="40" t="s">
        <v>71</v>
      </c>
      <c r="C132" s="40" t="s">
        <v>62</v>
      </c>
      <c r="D132" s="40" t="s">
        <v>40</v>
      </c>
      <c r="E132" s="40" t="str">
        <f>+VLOOKUP(D132,'1) Planilla maestra insumos'!$B$3:$D$98,2,FALSE)</f>
        <v>kg</v>
      </c>
      <c r="F132" s="40">
        <v>0.68799999999999994</v>
      </c>
      <c r="G132" s="40">
        <v>39</v>
      </c>
      <c r="H132" s="100">
        <f t="shared" si="0"/>
        <v>1.764102564102564E-2</v>
      </c>
      <c r="I132" s="65">
        <f t="shared" si="6"/>
        <v>11006.6</v>
      </c>
      <c r="J132" s="101">
        <f t="shared" si="2"/>
        <v>194.1677128205128</v>
      </c>
    </row>
    <row r="133" spans="2:10" ht="14.25" customHeight="1" x14ac:dyDescent="0.3">
      <c r="B133" s="40" t="s">
        <v>71</v>
      </c>
      <c r="C133" s="40" t="s">
        <v>62</v>
      </c>
      <c r="D133" s="40" t="s">
        <v>6</v>
      </c>
      <c r="E133" s="40" t="str">
        <f>+VLOOKUP(D133,'1) Planilla maestra insumos'!$B$3:$D$98,2,FALSE)</f>
        <v>kg</v>
      </c>
      <c r="F133" s="40">
        <v>0.98399999999999999</v>
      </c>
      <c r="G133" s="40">
        <v>39</v>
      </c>
      <c r="H133" s="100">
        <f t="shared" si="0"/>
        <v>2.523076923076923E-2</v>
      </c>
      <c r="I133" s="65">
        <f t="shared" si="6"/>
        <v>1263.5</v>
      </c>
      <c r="J133" s="101">
        <f t="shared" si="2"/>
        <v>31.879076923076923</v>
      </c>
    </row>
    <row r="134" spans="2:10" ht="14.25" customHeight="1" x14ac:dyDescent="0.3">
      <c r="B134" s="40" t="s">
        <v>71</v>
      </c>
      <c r="C134" s="40" t="s">
        <v>62</v>
      </c>
      <c r="D134" s="40" t="s">
        <v>8</v>
      </c>
      <c r="E134" s="40" t="str">
        <f>+VLOOKUP(D134,'1) Planilla maestra insumos'!$B$3:$D$98,2,FALSE)</f>
        <v>kg</v>
      </c>
      <c r="F134" s="40">
        <v>0.432</v>
      </c>
      <c r="G134" s="40">
        <v>39</v>
      </c>
      <c r="H134" s="100">
        <f t="shared" si="0"/>
        <v>1.1076923076923076E-2</v>
      </c>
      <c r="I134" s="65">
        <f t="shared" si="6"/>
        <v>3093.8</v>
      </c>
      <c r="J134" s="101">
        <f t="shared" si="2"/>
        <v>34.269784615384616</v>
      </c>
    </row>
    <row r="135" spans="2:10" ht="14.25" customHeight="1" x14ac:dyDescent="0.3">
      <c r="B135" s="40" t="s">
        <v>71</v>
      </c>
      <c r="C135" s="40" t="s">
        <v>62</v>
      </c>
      <c r="D135" s="40" t="s">
        <v>38</v>
      </c>
      <c r="E135" s="40" t="str">
        <f>+VLOOKUP(D135,'1) Planilla maestra insumos'!$B$3:$D$98,2,FALSE)</f>
        <v>kg</v>
      </c>
      <c r="F135" s="40">
        <v>0.24</v>
      </c>
      <c r="G135" s="40">
        <v>39</v>
      </c>
      <c r="H135" s="100">
        <f t="shared" si="0"/>
        <v>6.1538461538461538E-3</v>
      </c>
      <c r="I135" s="65">
        <f t="shared" si="6"/>
        <v>8000</v>
      </c>
      <c r="J135" s="101">
        <f t="shared" si="2"/>
        <v>49.230769230769234</v>
      </c>
    </row>
    <row r="136" spans="2:10" ht="14.25" customHeight="1" x14ac:dyDescent="0.3">
      <c r="B136" s="40" t="s">
        <v>71</v>
      </c>
      <c r="C136" s="40" t="s">
        <v>62</v>
      </c>
      <c r="D136" s="40" t="s">
        <v>36</v>
      </c>
      <c r="E136" s="40" t="str">
        <f>+VLOOKUP(D136,'1) Planilla maestra insumos'!$B$3:$D$98,2,FALSE)</f>
        <v>unidades</v>
      </c>
      <c r="F136" s="40">
        <v>4</v>
      </c>
      <c r="G136" s="40">
        <v>39</v>
      </c>
      <c r="H136" s="100">
        <f t="shared" si="0"/>
        <v>0.10256410256410256</v>
      </c>
      <c r="I136" s="65">
        <f t="shared" si="6"/>
        <v>176.66666666666666</v>
      </c>
      <c r="J136" s="101">
        <f t="shared" si="2"/>
        <v>18.119658119658119</v>
      </c>
    </row>
    <row r="137" spans="2:10" ht="14.25" customHeight="1" x14ac:dyDescent="0.3">
      <c r="B137" s="40" t="s">
        <v>71</v>
      </c>
      <c r="C137" s="40" t="s">
        <v>62</v>
      </c>
      <c r="D137" s="40" t="s">
        <v>35</v>
      </c>
      <c r="E137" s="40" t="str">
        <f>+VLOOKUP(D137,'1) Planilla maestra insumos'!$B$3:$D$98,2,FALSE)</f>
        <v>kg</v>
      </c>
      <c r="F137" s="40">
        <v>1.1919999999999999</v>
      </c>
      <c r="G137" s="40">
        <v>39</v>
      </c>
      <c r="H137" s="100">
        <f t="shared" si="0"/>
        <v>3.0564102564102563E-2</v>
      </c>
      <c r="I137" s="65">
        <f t="shared" si="6"/>
        <v>788</v>
      </c>
      <c r="J137" s="101">
        <f t="shared" si="2"/>
        <v>24.08451282051282</v>
      </c>
    </row>
    <row r="138" spans="2:10" ht="14.25" customHeight="1" x14ac:dyDescent="0.3">
      <c r="B138" s="40" t="s">
        <v>71</v>
      </c>
      <c r="C138" s="40" t="s">
        <v>62</v>
      </c>
      <c r="D138" s="40" t="s">
        <v>34</v>
      </c>
      <c r="E138" s="40" t="str">
        <f>+VLOOKUP(D138,'1) Planilla maestra insumos'!$B$3:$D$98,2,FALSE)</f>
        <v>kg</v>
      </c>
      <c r="F138" s="40">
        <v>0.73</v>
      </c>
      <c r="G138" s="40">
        <v>39</v>
      </c>
      <c r="H138" s="100">
        <f t="shared" si="0"/>
        <v>1.8717948717948716E-2</v>
      </c>
      <c r="I138" s="65">
        <f t="shared" si="6"/>
        <v>692</v>
      </c>
      <c r="J138" s="101">
        <f t="shared" si="2"/>
        <v>12.952820512820512</v>
      </c>
    </row>
    <row r="139" spans="2:10" ht="14.25" customHeight="1" x14ac:dyDescent="0.3">
      <c r="B139" s="40" t="s">
        <v>71</v>
      </c>
      <c r="C139" s="40" t="s">
        <v>62</v>
      </c>
      <c r="D139" s="40" t="s">
        <v>44</v>
      </c>
      <c r="E139" s="40" t="str">
        <f>+VLOOKUP(D139,'1) Planilla maestra insumos'!$B$3:$D$98,2,FALSE)</f>
        <v>kg</v>
      </c>
      <c r="F139" s="40">
        <v>0.03</v>
      </c>
      <c r="G139" s="40">
        <v>39</v>
      </c>
      <c r="H139" s="100">
        <f t="shared" si="0"/>
        <v>7.6923076923076923E-4</v>
      </c>
      <c r="I139" s="65">
        <f t="shared" si="6"/>
        <v>5455.333333333333</v>
      </c>
      <c r="J139" s="101">
        <f t="shared" si="2"/>
        <v>4.1964102564102559</v>
      </c>
    </row>
    <row r="140" spans="2:10" ht="14.25" customHeight="1" x14ac:dyDescent="0.3">
      <c r="B140" s="40" t="s">
        <v>71</v>
      </c>
      <c r="C140" s="40" t="s">
        <v>62</v>
      </c>
      <c r="D140" s="40" t="s">
        <v>11</v>
      </c>
      <c r="E140" s="40" t="str">
        <f>+VLOOKUP(D140,'1) Planilla maestra insumos'!$B$3:$D$98,2,FALSE)</f>
        <v>kg</v>
      </c>
      <c r="F140" s="40">
        <v>0.01</v>
      </c>
      <c r="G140" s="40">
        <v>39</v>
      </c>
      <c r="H140" s="100">
        <f t="shared" si="0"/>
        <v>2.5641025641025641E-4</v>
      </c>
      <c r="I140" s="65">
        <f t="shared" si="6"/>
        <v>6000</v>
      </c>
      <c r="J140" s="101">
        <f t="shared" si="2"/>
        <v>1.5384615384615385</v>
      </c>
    </row>
    <row r="141" spans="2:10" ht="14.25" customHeight="1" x14ac:dyDescent="0.3">
      <c r="B141" s="40" t="s">
        <v>71</v>
      </c>
      <c r="C141" s="40" t="s">
        <v>62</v>
      </c>
      <c r="D141" s="40" t="s">
        <v>39</v>
      </c>
      <c r="E141" s="40" t="str">
        <f>+VLOOKUP(D141,'1) Planilla maestra insumos'!$B$3:$D$98,2,FALSE)</f>
        <v>kg</v>
      </c>
      <c r="F141" s="40">
        <f>240/1000</f>
        <v>0.24</v>
      </c>
      <c r="G141" s="40">
        <v>39</v>
      </c>
      <c r="H141" s="100">
        <f t="shared" si="0"/>
        <v>6.1538461538461538E-3</v>
      </c>
      <c r="I141" s="65">
        <f t="shared" si="6"/>
        <v>8000</v>
      </c>
      <c r="J141" s="101">
        <f t="shared" si="2"/>
        <v>49.230769230769234</v>
      </c>
    </row>
    <row r="142" spans="2:10" ht="14.25" customHeight="1" x14ac:dyDescent="0.3">
      <c r="B142" s="40" t="s">
        <v>71</v>
      </c>
      <c r="C142" s="40" t="s">
        <v>62</v>
      </c>
      <c r="D142" s="40" t="s">
        <v>46</v>
      </c>
      <c r="E142" s="40" t="str">
        <f>+VLOOKUP(D142,'1) Planilla maestra insumos'!$B$3:$D$98,2,FALSE)</f>
        <v>kg</v>
      </c>
      <c r="F142" s="40">
        <v>6.4000000000000001E-2</v>
      </c>
      <c r="G142" s="40">
        <v>39</v>
      </c>
      <c r="H142" s="100">
        <f t="shared" si="0"/>
        <v>1.6410256410256412E-3</v>
      </c>
      <c r="I142" s="65">
        <f t="shared" si="6"/>
        <v>13526</v>
      </c>
      <c r="J142" s="101">
        <f t="shared" si="2"/>
        <v>22.196512820512822</v>
      </c>
    </row>
    <row r="143" spans="2:10" ht="14.25" customHeight="1" x14ac:dyDescent="0.3">
      <c r="B143" s="40" t="s">
        <v>72</v>
      </c>
      <c r="C143" s="40" t="s">
        <v>62</v>
      </c>
      <c r="D143" s="40" t="s">
        <v>40</v>
      </c>
      <c r="E143" s="40" t="str">
        <f>+VLOOKUP(D143,'1) Planilla maestra insumos'!$B$3:$D$98,2,FALSE)</f>
        <v>kg</v>
      </c>
      <c r="F143" s="40">
        <v>0.8</v>
      </c>
      <c r="G143" s="40">
        <v>43</v>
      </c>
      <c r="H143" s="100">
        <f t="shared" si="0"/>
        <v>1.8604651162790697E-2</v>
      </c>
      <c r="I143" s="65">
        <f t="shared" si="6"/>
        <v>11006.6</v>
      </c>
      <c r="J143" s="101">
        <f t="shared" si="2"/>
        <v>204.77395348837209</v>
      </c>
    </row>
    <row r="144" spans="2:10" ht="14.25" customHeight="1" x14ac:dyDescent="0.3">
      <c r="B144" s="40" t="s">
        <v>72</v>
      </c>
      <c r="C144" s="40" t="s">
        <v>62</v>
      </c>
      <c r="D144" s="40" t="s">
        <v>6</v>
      </c>
      <c r="E144" s="40" t="str">
        <f>+VLOOKUP(D144,'1) Planilla maestra insumos'!$B$3:$D$98,2,FALSE)</f>
        <v>kg</v>
      </c>
      <c r="F144" s="40">
        <v>0.96</v>
      </c>
      <c r="G144" s="40">
        <v>43</v>
      </c>
      <c r="H144" s="100">
        <f t="shared" si="0"/>
        <v>2.2325581395348838E-2</v>
      </c>
      <c r="I144" s="65">
        <f t="shared" si="6"/>
        <v>1263.5</v>
      </c>
      <c r="J144" s="101">
        <f t="shared" si="2"/>
        <v>28.208372093023257</v>
      </c>
    </row>
    <row r="145" spans="2:13" ht="14.25" customHeight="1" x14ac:dyDescent="0.3">
      <c r="B145" s="40" t="s">
        <v>72</v>
      </c>
      <c r="C145" s="40" t="s">
        <v>62</v>
      </c>
      <c r="D145" s="40" t="s">
        <v>8</v>
      </c>
      <c r="E145" s="40" t="str">
        <f>+VLOOKUP(D145,'1) Planilla maestra insumos'!$B$3:$D$98,2,FALSE)</f>
        <v>kg</v>
      </c>
      <c r="F145" s="40">
        <v>0.36</v>
      </c>
      <c r="G145" s="40">
        <v>43</v>
      </c>
      <c r="H145" s="100">
        <f t="shared" si="0"/>
        <v>8.3720930232558128E-3</v>
      </c>
      <c r="I145" s="65">
        <f t="shared" si="6"/>
        <v>3093.8</v>
      </c>
      <c r="J145" s="101">
        <f t="shared" si="2"/>
        <v>25.901581395348835</v>
      </c>
    </row>
    <row r="146" spans="2:13" ht="14.25" customHeight="1" x14ac:dyDescent="0.3">
      <c r="B146" s="40" t="s">
        <v>72</v>
      </c>
      <c r="C146" s="40" t="s">
        <v>62</v>
      </c>
      <c r="D146" s="40" t="s">
        <v>36</v>
      </c>
      <c r="E146" s="40" t="str">
        <f>+VLOOKUP(D146,'1) Planilla maestra insumos'!$B$3:$D$98,2,FALSE)</f>
        <v>unidades</v>
      </c>
      <c r="F146" s="40">
        <v>8</v>
      </c>
      <c r="G146" s="40">
        <v>43</v>
      </c>
      <c r="H146" s="100">
        <f t="shared" si="0"/>
        <v>0.18604651162790697</v>
      </c>
      <c r="I146" s="65">
        <f t="shared" si="6"/>
        <v>176.66666666666666</v>
      </c>
      <c r="J146" s="101">
        <f t="shared" si="2"/>
        <v>32.86821705426356</v>
      </c>
    </row>
    <row r="147" spans="2:13" ht="14.25" customHeight="1" x14ac:dyDescent="0.3">
      <c r="B147" s="40" t="s">
        <v>72</v>
      </c>
      <c r="C147" s="40" t="s">
        <v>62</v>
      </c>
      <c r="D147" s="40" t="s">
        <v>35</v>
      </c>
      <c r="E147" s="40" t="str">
        <f>+VLOOKUP(D147,'1) Planilla maestra insumos'!$B$3:$D$98,2,FALSE)</f>
        <v>kg</v>
      </c>
      <c r="F147" s="40">
        <v>1.03</v>
      </c>
      <c r="G147" s="40">
        <v>43</v>
      </c>
      <c r="H147" s="100">
        <f t="shared" si="0"/>
        <v>2.3953488372093025E-2</v>
      </c>
      <c r="I147" s="65">
        <f t="shared" si="6"/>
        <v>788</v>
      </c>
      <c r="J147" s="101">
        <f t="shared" si="2"/>
        <v>18.875348837209305</v>
      </c>
    </row>
    <row r="148" spans="2:13" ht="14.25" customHeight="1" x14ac:dyDescent="0.3">
      <c r="B148" s="40" t="s">
        <v>72</v>
      </c>
      <c r="C148" s="40" t="s">
        <v>62</v>
      </c>
      <c r="D148" s="40" t="s">
        <v>34</v>
      </c>
      <c r="E148" s="40" t="str">
        <f>+VLOOKUP(D148,'1) Planilla maestra insumos'!$B$3:$D$98,2,FALSE)</f>
        <v>kg</v>
      </c>
      <c r="F148" s="40">
        <v>0.6</v>
      </c>
      <c r="G148" s="40">
        <v>43</v>
      </c>
      <c r="H148" s="100">
        <f t="shared" si="0"/>
        <v>1.3953488372093023E-2</v>
      </c>
      <c r="I148" s="65">
        <f t="shared" si="6"/>
        <v>692</v>
      </c>
      <c r="J148" s="101">
        <f t="shared" si="2"/>
        <v>9.6558139534883711</v>
      </c>
    </row>
    <row r="149" spans="2:13" ht="14.25" customHeight="1" x14ac:dyDescent="0.3">
      <c r="B149" s="40" t="s">
        <v>72</v>
      </c>
      <c r="C149" s="40" t="s">
        <v>62</v>
      </c>
      <c r="D149" s="40" t="s">
        <v>17</v>
      </c>
      <c r="E149" s="40" t="str">
        <f>+VLOOKUP(D149,'1) Planilla maestra insumos'!$B$3:$D$98,2,FALSE)</f>
        <v>kg</v>
      </c>
      <c r="F149" s="40">
        <v>0.224</v>
      </c>
      <c r="G149" s="40">
        <v>43</v>
      </c>
      <c r="H149" s="100">
        <f t="shared" si="0"/>
        <v>5.209302325581395E-3</v>
      </c>
      <c r="I149" s="65">
        <f t="shared" si="6"/>
        <v>23680</v>
      </c>
      <c r="J149" s="101">
        <f t="shared" si="2"/>
        <v>123.35627906976744</v>
      </c>
    </row>
    <row r="150" spans="2:13" ht="14.25" customHeight="1" x14ac:dyDescent="0.3">
      <c r="B150" s="40" t="s">
        <v>72</v>
      </c>
      <c r="C150" s="40" t="s">
        <v>62</v>
      </c>
      <c r="D150" s="40" t="s">
        <v>11</v>
      </c>
      <c r="E150" s="40" t="str">
        <f>+VLOOKUP(D150,'1) Planilla maestra insumos'!$B$3:$D$98,2,FALSE)</f>
        <v>kg</v>
      </c>
      <c r="F150" s="40">
        <v>1.2E-2</v>
      </c>
      <c r="G150" s="40">
        <v>43</v>
      </c>
      <c r="H150" s="100">
        <f t="shared" si="0"/>
        <v>2.7906976744186045E-4</v>
      </c>
      <c r="I150" s="65">
        <f t="shared" si="6"/>
        <v>6000</v>
      </c>
      <c r="J150" s="101">
        <f t="shared" si="2"/>
        <v>1.6744186046511627</v>
      </c>
    </row>
    <row r="151" spans="2:13" ht="14.25" customHeight="1" x14ac:dyDescent="0.3">
      <c r="B151" s="40" t="s">
        <v>72</v>
      </c>
      <c r="C151" s="40" t="s">
        <v>62</v>
      </c>
      <c r="D151" s="40" t="s">
        <v>44</v>
      </c>
      <c r="E151" s="40" t="str">
        <f>+VLOOKUP(D151,'1) Planilla maestra insumos'!$B$3:$D$98,2,FALSE)</f>
        <v>kg</v>
      </c>
      <c r="F151" s="40">
        <v>0.02</v>
      </c>
      <c r="G151" s="40">
        <v>43</v>
      </c>
      <c r="H151" s="100">
        <f t="shared" si="0"/>
        <v>4.6511627906976747E-4</v>
      </c>
      <c r="I151" s="65">
        <f t="shared" si="6"/>
        <v>5455.333333333333</v>
      </c>
      <c r="J151" s="101">
        <f t="shared" si="2"/>
        <v>2.5373643410852713</v>
      </c>
    </row>
    <row r="152" spans="2:13" ht="14.25" customHeight="1" x14ac:dyDescent="0.3">
      <c r="B152" s="40" t="s">
        <v>72</v>
      </c>
      <c r="C152" s="40" t="s">
        <v>62</v>
      </c>
      <c r="D152" s="40" t="s">
        <v>48</v>
      </c>
      <c r="E152" s="40" t="str">
        <f>+VLOOKUP(D152,'1) Planilla maestra insumos'!$B$3:$D$98,2,FALSE)</f>
        <v>Lt</v>
      </c>
      <c r="F152" s="40">
        <v>2.4E-2</v>
      </c>
      <c r="G152" s="40">
        <v>43</v>
      </c>
      <c r="H152" s="100">
        <f t="shared" si="0"/>
        <v>5.581395348837209E-4</v>
      </c>
      <c r="I152" s="65">
        <f t="shared" si="6"/>
        <v>1000</v>
      </c>
      <c r="J152" s="101">
        <f t="shared" si="2"/>
        <v>0.55813953488372092</v>
      </c>
    </row>
    <row r="153" spans="2:13" ht="14.25" customHeight="1" x14ac:dyDescent="0.3">
      <c r="B153" s="40" t="s">
        <v>72</v>
      </c>
      <c r="C153" s="40" t="s">
        <v>62</v>
      </c>
      <c r="D153" s="40" t="s">
        <v>42</v>
      </c>
      <c r="E153" s="40" t="str">
        <f>+VLOOKUP(D153,'1) Planilla maestra insumos'!$B$3:$D$98,2,FALSE)</f>
        <v>kg</v>
      </c>
      <c r="F153" s="40">
        <v>0.24</v>
      </c>
      <c r="G153" s="40">
        <v>43</v>
      </c>
      <c r="H153" s="100">
        <f t="shared" si="0"/>
        <v>5.5813953488372094E-3</v>
      </c>
      <c r="I153" s="65">
        <f t="shared" si="6"/>
        <v>10043.799999999999</v>
      </c>
      <c r="J153" s="101">
        <f t="shared" si="2"/>
        <v>56.058418604651159</v>
      </c>
    </row>
    <row r="154" spans="2:13" ht="14.25" customHeight="1" x14ac:dyDescent="0.3">
      <c r="B154" s="40" t="s">
        <v>72</v>
      </c>
      <c r="C154" s="40" t="s">
        <v>62</v>
      </c>
      <c r="D154" s="40" t="s">
        <v>22</v>
      </c>
      <c r="E154" s="40" t="str">
        <f>+VLOOKUP(D154,'1) Planilla maestra insumos'!$B$3:$D$98,2,FALSE)</f>
        <v>kg</v>
      </c>
      <c r="F154" s="40">
        <v>0.36</v>
      </c>
      <c r="G154" s="40">
        <v>43</v>
      </c>
      <c r="H154" s="100">
        <f t="shared" si="0"/>
        <v>8.3720930232558128E-3</v>
      </c>
      <c r="I154" s="65">
        <f t="shared" si="6"/>
        <v>10524.5</v>
      </c>
      <c r="J154" s="101">
        <f t="shared" si="2"/>
        <v>88.112093023255795</v>
      </c>
    </row>
    <row r="155" spans="2:13" ht="14.25" customHeight="1" x14ac:dyDescent="0.3">
      <c r="B155" s="40" t="s">
        <v>72</v>
      </c>
      <c r="C155" s="40" t="s">
        <v>62</v>
      </c>
      <c r="D155" s="40" t="s">
        <v>22</v>
      </c>
      <c r="E155" s="40" t="str">
        <f>+VLOOKUP(D155,'1) Planilla maestra insumos'!$B$3:$D$98,2,FALSE)</f>
        <v>kg</v>
      </c>
      <c r="F155" s="40">
        <v>0.3</v>
      </c>
      <c r="G155" s="40">
        <v>26</v>
      </c>
      <c r="H155" s="100">
        <f t="shared" si="0"/>
        <v>1.1538461538461537E-2</v>
      </c>
      <c r="I155" s="65">
        <f t="shared" si="6"/>
        <v>10524.5</v>
      </c>
      <c r="J155" s="101">
        <f t="shared" si="2"/>
        <v>121.43653846153845</v>
      </c>
    </row>
    <row r="156" spans="2:13" ht="14.25" customHeight="1" x14ac:dyDescent="0.3">
      <c r="B156" s="40" t="s">
        <v>72</v>
      </c>
      <c r="C156" s="40" t="s">
        <v>62</v>
      </c>
      <c r="D156" s="40" t="s">
        <v>28</v>
      </c>
      <c r="E156" s="40" t="str">
        <f>+VLOOKUP(D156,'1) Planilla maestra insumos'!$B$3:$D$98,2,FALSE)</f>
        <v>kg</v>
      </c>
      <c r="F156" s="40">
        <v>0.1</v>
      </c>
      <c r="G156" s="40">
        <v>26</v>
      </c>
      <c r="H156" s="100">
        <f t="shared" si="0"/>
        <v>3.8461538461538464E-3</v>
      </c>
      <c r="I156" s="65">
        <f t="shared" si="6"/>
        <v>9606.5</v>
      </c>
      <c r="J156" s="101">
        <f t="shared" si="2"/>
        <v>36.948076923076925</v>
      </c>
    </row>
    <row r="157" spans="2:13" ht="14.25" customHeight="1" x14ac:dyDescent="0.3">
      <c r="B157" s="40" t="s">
        <v>71</v>
      </c>
      <c r="C157" s="40" t="s">
        <v>62</v>
      </c>
      <c r="D157" s="40" t="s">
        <v>33</v>
      </c>
      <c r="E157" s="40" t="str">
        <f>+VLOOKUP(D157,'1) Planilla maestra insumos'!$B$3:$D$98,2,FALSE)</f>
        <v>kg</v>
      </c>
      <c r="F157" s="40">
        <v>2</v>
      </c>
      <c r="G157" s="40">
        <v>171</v>
      </c>
      <c r="H157" s="100">
        <f t="shared" si="0"/>
        <v>1.1695906432748537E-2</v>
      </c>
      <c r="I157" s="65">
        <f t="shared" si="6"/>
        <v>9679</v>
      </c>
      <c r="J157" s="101">
        <f t="shared" si="2"/>
        <v>113.20467836257309</v>
      </c>
    </row>
    <row r="158" spans="2:13" ht="14.25" customHeight="1" x14ac:dyDescent="0.3">
      <c r="B158" s="40" t="s">
        <v>71</v>
      </c>
      <c r="C158" s="40" t="s">
        <v>62</v>
      </c>
      <c r="D158" s="40" t="s">
        <v>6</v>
      </c>
      <c r="E158" s="40" t="str">
        <f>+VLOOKUP(D158,'1) Planilla maestra insumos'!$B$3:$D$98,2,FALSE)</f>
        <v>kg</v>
      </c>
      <c r="F158" s="40">
        <v>0.6</v>
      </c>
      <c r="G158" s="40">
        <v>171</v>
      </c>
      <c r="H158" s="100">
        <f t="shared" si="0"/>
        <v>3.5087719298245615E-3</v>
      </c>
      <c r="I158" s="65">
        <f t="shared" si="6"/>
        <v>1263.5</v>
      </c>
      <c r="J158" s="101">
        <f t="shared" si="2"/>
        <v>4.4333333333333336</v>
      </c>
    </row>
    <row r="159" spans="2:13" ht="14.25" customHeight="1" x14ac:dyDescent="0.3">
      <c r="B159" s="40" t="s">
        <v>71</v>
      </c>
      <c r="C159" s="40" t="s">
        <v>62</v>
      </c>
      <c r="D159" s="40" t="s">
        <v>38</v>
      </c>
      <c r="E159" s="40" t="str">
        <f>+VLOOKUP(D159,'1) Planilla maestra insumos'!$B$3:$D$98,2,FALSE)</f>
        <v>kg</v>
      </c>
      <c r="F159" s="40">
        <v>0.04</v>
      </c>
      <c r="G159" s="40">
        <v>171</v>
      </c>
      <c r="H159" s="100">
        <f t="shared" si="0"/>
        <v>2.3391812865497077E-4</v>
      </c>
      <c r="I159" s="65">
        <f t="shared" si="6"/>
        <v>8000</v>
      </c>
      <c r="J159" s="101">
        <f t="shared" si="2"/>
        <v>1.8713450292397662</v>
      </c>
    </row>
    <row r="160" spans="2:13" ht="14.25" customHeight="1" x14ac:dyDescent="0.3">
      <c r="B160" s="53" t="s">
        <v>139</v>
      </c>
      <c r="C160" s="39" t="s">
        <v>67</v>
      </c>
      <c r="D160" s="39" t="s">
        <v>40</v>
      </c>
      <c r="E160" s="40" t="str">
        <f>+VLOOKUP(D160,'1) Planilla maestra insumos'!$B$3:$D$98,2,FALSE)</f>
        <v>kg</v>
      </c>
      <c r="F160" s="41">
        <v>0.76800000000000002</v>
      </c>
      <c r="G160" s="41">
        <v>119</v>
      </c>
      <c r="H160" s="100">
        <f t="shared" si="0"/>
        <v>6.4537815126050422E-3</v>
      </c>
      <c r="I160" s="65">
        <f t="shared" ref="I160:I183" si="7">+VLOOKUP(D160,Insumos,5,FALSE)</f>
        <v>11006.6</v>
      </c>
      <c r="J160" s="101">
        <f t="shared" si="2"/>
        <v>71.034191596638664</v>
      </c>
      <c r="L160" s="19">
        <v>39</v>
      </c>
      <c r="M160" s="19">
        <f>L160/2</f>
        <v>19.5</v>
      </c>
    </row>
    <row r="161" spans="2:10" ht="14.25" customHeight="1" x14ac:dyDescent="0.3">
      <c r="B161" s="53" t="s">
        <v>139</v>
      </c>
      <c r="C161" s="39" t="s">
        <v>67</v>
      </c>
      <c r="D161" s="39" t="s">
        <v>6</v>
      </c>
      <c r="E161" s="40" t="str">
        <f>+VLOOKUP(D161,'1) Planilla maestra insumos'!$B$3:$D$98,2,FALSE)</f>
        <v>kg</v>
      </c>
      <c r="F161" s="41">
        <v>0.93</v>
      </c>
      <c r="G161" s="41">
        <v>119</v>
      </c>
      <c r="H161" s="100">
        <f t="shared" si="0"/>
        <v>7.8151260504201684E-3</v>
      </c>
      <c r="I161" s="65">
        <f t="shared" si="7"/>
        <v>1263.5</v>
      </c>
      <c r="J161" s="101">
        <f t="shared" ref="J161:J183" si="8">+H161*I161</f>
        <v>9.8744117647058829</v>
      </c>
    </row>
    <row r="162" spans="2:10" ht="14.25" customHeight="1" x14ac:dyDescent="0.3">
      <c r="B162" s="53" t="s">
        <v>139</v>
      </c>
      <c r="C162" s="39" t="s">
        <v>67</v>
      </c>
      <c r="D162" s="39" t="s">
        <v>8</v>
      </c>
      <c r="E162" s="40" t="str">
        <f>+VLOOKUP(D162,'1) Planilla maestra insumos'!$B$3:$D$98,2,FALSE)</f>
        <v>kg</v>
      </c>
      <c r="F162" s="41">
        <f>520/1000</f>
        <v>0.52</v>
      </c>
      <c r="G162" s="41">
        <v>119</v>
      </c>
      <c r="H162" s="100">
        <f t="shared" ref="H162:H195" si="9">+F162/G162</f>
        <v>4.3697478991596636E-3</v>
      </c>
      <c r="I162" s="65">
        <f t="shared" si="7"/>
        <v>3093.8</v>
      </c>
      <c r="J162" s="101">
        <f t="shared" si="8"/>
        <v>13.519126050420168</v>
      </c>
    </row>
    <row r="163" spans="2:10" ht="14.25" customHeight="1" x14ac:dyDescent="0.3">
      <c r="B163" s="53" t="s">
        <v>139</v>
      </c>
      <c r="C163" s="39" t="s">
        <v>67</v>
      </c>
      <c r="D163" s="39" t="s">
        <v>36</v>
      </c>
      <c r="E163" s="40" t="str">
        <f>+VLOOKUP(D163,'1) Planilla maestra insumos'!$B$3:$D$98,2,FALSE)</f>
        <v>unidades</v>
      </c>
      <c r="F163" s="39">
        <v>7</v>
      </c>
      <c r="G163" s="41">
        <v>119</v>
      </c>
      <c r="H163" s="100">
        <f t="shared" si="9"/>
        <v>5.8823529411764705E-2</v>
      </c>
      <c r="I163" s="65">
        <f t="shared" si="7"/>
        <v>176.66666666666666</v>
      </c>
      <c r="J163" s="101">
        <f t="shared" si="8"/>
        <v>10.392156862745097</v>
      </c>
    </row>
    <row r="164" spans="2:10" ht="14.25" customHeight="1" x14ac:dyDescent="0.3">
      <c r="B164" s="53" t="s">
        <v>139</v>
      </c>
      <c r="C164" s="39" t="s">
        <v>67</v>
      </c>
      <c r="D164" s="39" t="s">
        <v>30</v>
      </c>
      <c r="E164" s="40" t="str">
        <f>+VLOOKUP(D164,'1) Planilla maestra insumos'!$B$3:$D$98,2,FALSE)</f>
        <v>Lt</v>
      </c>
      <c r="F164" s="41">
        <v>0.03</v>
      </c>
      <c r="G164" s="41">
        <v>119</v>
      </c>
      <c r="H164" s="100">
        <f t="shared" si="9"/>
        <v>2.5210084033613445E-4</v>
      </c>
      <c r="I164" s="65">
        <f t="shared" si="7"/>
        <v>26841.8</v>
      </c>
      <c r="J164" s="101">
        <f t="shared" si="8"/>
        <v>6.7668403361344538</v>
      </c>
    </row>
    <row r="165" spans="2:10" ht="14.25" customHeight="1" x14ac:dyDescent="0.3">
      <c r="B165" s="53" t="s">
        <v>139</v>
      </c>
      <c r="C165" s="39" t="s">
        <v>67</v>
      </c>
      <c r="D165" s="39" t="s">
        <v>35</v>
      </c>
      <c r="E165" s="40" t="str">
        <f>+VLOOKUP(D165,'1) Planilla maestra insumos'!$B$3:$D$98,2,FALSE)</f>
        <v>kg</v>
      </c>
      <c r="F165" s="41">
        <v>1</v>
      </c>
      <c r="G165" s="41">
        <v>119</v>
      </c>
      <c r="H165" s="100">
        <f t="shared" si="9"/>
        <v>8.4033613445378148E-3</v>
      </c>
      <c r="I165" s="65">
        <f t="shared" si="7"/>
        <v>788</v>
      </c>
      <c r="J165" s="101">
        <f t="shared" si="8"/>
        <v>6.6218487394957979</v>
      </c>
    </row>
    <row r="166" spans="2:10" ht="14.25" customHeight="1" x14ac:dyDescent="0.3">
      <c r="B166" s="53" t="s">
        <v>139</v>
      </c>
      <c r="C166" s="39" t="s">
        <v>67</v>
      </c>
      <c r="D166" s="39" t="s">
        <v>34</v>
      </c>
      <c r="E166" s="40" t="str">
        <f>+VLOOKUP(D166,'1) Planilla maestra insumos'!$B$3:$D$98,2,FALSE)</f>
        <v>kg</v>
      </c>
      <c r="F166" s="41">
        <v>0.62</v>
      </c>
      <c r="G166" s="41">
        <v>119</v>
      </c>
      <c r="H166" s="100">
        <f t="shared" si="9"/>
        <v>5.2100840336134456E-3</v>
      </c>
      <c r="I166" s="65">
        <f t="shared" si="7"/>
        <v>692</v>
      </c>
      <c r="J166" s="101">
        <f t="shared" si="8"/>
        <v>3.6053781512605045</v>
      </c>
    </row>
    <row r="167" spans="2:10" ht="14.25" customHeight="1" x14ac:dyDescent="0.3">
      <c r="B167" s="53" t="s">
        <v>139</v>
      </c>
      <c r="C167" s="39" t="s">
        <v>67</v>
      </c>
      <c r="D167" s="39" t="s">
        <v>18</v>
      </c>
      <c r="E167" s="40" t="str">
        <f>+VLOOKUP(D167,'1) Planilla maestra insumos'!$B$3:$D$98,2,FALSE)</f>
        <v>kg</v>
      </c>
      <c r="F167" s="41">
        <v>0.18</v>
      </c>
      <c r="G167" s="41">
        <v>119</v>
      </c>
      <c r="H167" s="100">
        <f t="shared" si="9"/>
        <v>1.5126050420168067E-3</v>
      </c>
      <c r="I167" s="65">
        <f t="shared" si="7"/>
        <v>23970</v>
      </c>
      <c r="J167" s="101">
        <f t="shared" si="8"/>
        <v>36.257142857142853</v>
      </c>
    </row>
    <row r="168" spans="2:10" ht="14.25" customHeight="1" x14ac:dyDescent="0.3">
      <c r="B168" s="53" t="s">
        <v>139</v>
      </c>
      <c r="C168" s="39" t="s">
        <v>67</v>
      </c>
      <c r="D168" s="39" t="s">
        <v>44</v>
      </c>
      <c r="E168" s="40" t="str">
        <f>+VLOOKUP(D168,'1) Planilla maestra insumos'!$B$3:$D$98,2,FALSE)</f>
        <v>kg</v>
      </c>
      <c r="F168" s="41">
        <v>0.03</v>
      </c>
      <c r="G168" s="41">
        <v>119</v>
      </c>
      <c r="H168" s="100">
        <f t="shared" si="9"/>
        <v>2.5210084033613445E-4</v>
      </c>
      <c r="I168" s="65">
        <f t="shared" si="7"/>
        <v>5455.333333333333</v>
      </c>
      <c r="J168" s="101">
        <f t="shared" si="8"/>
        <v>1.3752941176470588</v>
      </c>
    </row>
    <row r="169" spans="2:10" ht="14.25" customHeight="1" x14ac:dyDescent="0.3">
      <c r="B169" s="53" t="s">
        <v>139</v>
      </c>
      <c r="C169" s="39" t="s">
        <v>67</v>
      </c>
      <c r="D169" s="39" t="s">
        <v>11</v>
      </c>
      <c r="E169" s="40" t="str">
        <f>+VLOOKUP(D169,'1) Planilla maestra insumos'!$B$3:$D$98,2,FALSE)</f>
        <v>kg</v>
      </c>
      <c r="F169" s="41">
        <f>8/1000</f>
        <v>8.0000000000000002E-3</v>
      </c>
      <c r="G169" s="41">
        <v>119</v>
      </c>
      <c r="H169" s="100">
        <f t="shared" si="9"/>
        <v>6.7226890756302523E-5</v>
      </c>
      <c r="I169" s="65">
        <f t="shared" si="7"/>
        <v>6000</v>
      </c>
      <c r="J169" s="101">
        <f t="shared" si="8"/>
        <v>0.40336134453781514</v>
      </c>
    </row>
    <row r="170" spans="2:10" ht="14.25" customHeight="1" x14ac:dyDescent="0.3">
      <c r="B170" s="53" t="s">
        <v>139</v>
      </c>
      <c r="C170" s="39" t="s">
        <v>67</v>
      </c>
      <c r="D170" s="39" t="s">
        <v>22</v>
      </c>
      <c r="E170" s="40" t="str">
        <f>+VLOOKUP(D170,'1) Planilla maestra insumos'!$B$3:$D$98,2,FALSE)</f>
        <v>kg</v>
      </c>
      <c r="F170" s="41">
        <v>0.36</v>
      </c>
      <c r="G170" s="41">
        <v>119</v>
      </c>
      <c r="H170" s="100">
        <f t="shared" si="9"/>
        <v>3.0252100840336134E-3</v>
      </c>
      <c r="I170" s="65">
        <f t="shared" si="7"/>
        <v>10524.5</v>
      </c>
      <c r="J170" s="101">
        <f t="shared" si="8"/>
        <v>31.838823529411766</v>
      </c>
    </row>
    <row r="171" spans="2:10" ht="14.25" customHeight="1" x14ac:dyDescent="0.3">
      <c r="B171" s="39" t="s">
        <v>126</v>
      </c>
      <c r="C171" s="39" t="s">
        <v>62</v>
      </c>
      <c r="D171" s="39" t="s">
        <v>35</v>
      </c>
      <c r="E171" s="40" t="str">
        <f>+VLOOKUP(D171,'1) Planilla maestra insumos'!$B$3:$D$98,2,FALSE)</f>
        <v>kg</v>
      </c>
      <c r="F171" s="41">
        <v>1</v>
      </c>
      <c r="G171" s="46">
        <f>4600/120</f>
        <v>38.333333333333336</v>
      </c>
      <c r="H171" s="100">
        <f t="shared" si="9"/>
        <v>2.6086956521739129E-2</v>
      </c>
      <c r="I171" s="65">
        <f t="shared" si="7"/>
        <v>788</v>
      </c>
      <c r="J171" s="101">
        <f t="shared" si="8"/>
        <v>20.556521739130435</v>
      </c>
    </row>
    <row r="172" spans="2:10" ht="14.25" customHeight="1" x14ac:dyDescent="0.3">
      <c r="B172" s="39" t="s">
        <v>126</v>
      </c>
      <c r="C172" s="39" t="s">
        <v>62</v>
      </c>
      <c r="D172" s="39" t="s">
        <v>34</v>
      </c>
      <c r="E172" s="40" t="str">
        <f>+VLOOKUP(D172,'1) Planilla maestra insumos'!$B$3:$D$98,2,FALSE)</f>
        <v>kg</v>
      </c>
      <c r="F172" s="41">
        <v>0.62</v>
      </c>
      <c r="G172" s="46">
        <f t="shared" ref="G172:G183" si="10">4600/120</f>
        <v>38.333333333333336</v>
      </c>
      <c r="H172" s="100">
        <f t="shared" si="9"/>
        <v>1.6173913043478261E-2</v>
      </c>
      <c r="I172" s="65">
        <f t="shared" si="7"/>
        <v>692</v>
      </c>
      <c r="J172" s="101">
        <f t="shared" si="8"/>
        <v>11.192347826086957</v>
      </c>
    </row>
    <row r="173" spans="2:10" ht="14.25" customHeight="1" x14ac:dyDescent="0.3">
      <c r="B173" s="39" t="s">
        <v>126</v>
      </c>
      <c r="C173" s="39" t="s">
        <v>62</v>
      </c>
      <c r="D173" s="39" t="s">
        <v>18</v>
      </c>
      <c r="E173" s="40" t="str">
        <f>+VLOOKUP(D173,'1) Planilla maestra insumos'!$B$3:$D$98,2,FALSE)</f>
        <v>kg</v>
      </c>
      <c r="F173" s="41">
        <v>0.18</v>
      </c>
      <c r="G173" s="46">
        <f t="shared" si="10"/>
        <v>38.333333333333336</v>
      </c>
      <c r="H173" s="100">
        <f t="shared" si="9"/>
        <v>4.6956521739130426E-3</v>
      </c>
      <c r="I173" s="65">
        <f t="shared" si="7"/>
        <v>23970</v>
      </c>
      <c r="J173" s="101">
        <f t="shared" si="8"/>
        <v>112.55478260869563</v>
      </c>
    </row>
    <row r="174" spans="2:10" ht="14.25" customHeight="1" x14ac:dyDescent="0.3">
      <c r="B174" s="39" t="s">
        <v>126</v>
      </c>
      <c r="C174" s="39" t="s">
        <v>62</v>
      </c>
      <c r="D174" s="39" t="s">
        <v>44</v>
      </c>
      <c r="E174" s="40" t="str">
        <f>+VLOOKUP(D174,'1) Planilla maestra insumos'!$B$3:$D$98,2,FALSE)</f>
        <v>kg</v>
      </c>
      <c r="F174" s="41">
        <v>0.03</v>
      </c>
      <c r="G174" s="46">
        <f t="shared" si="10"/>
        <v>38.333333333333336</v>
      </c>
      <c r="H174" s="100">
        <f t="shared" si="9"/>
        <v>7.8260869565217384E-4</v>
      </c>
      <c r="I174" s="65">
        <f t="shared" si="7"/>
        <v>5455.333333333333</v>
      </c>
      <c r="J174" s="101">
        <f t="shared" si="8"/>
        <v>4.2693913043478258</v>
      </c>
    </row>
    <row r="175" spans="2:10" ht="14.25" customHeight="1" x14ac:dyDescent="0.3">
      <c r="B175" s="39" t="s">
        <v>126</v>
      </c>
      <c r="C175" s="39" t="s">
        <v>62</v>
      </c>
      <c r="D175" s="39" t="s">
        <v>11</v>
      </c>
      <c r="E175" s="40" t="str">
        <f>+VLOOKUP(D175,'1) Planilla maestra insumos'!$B$3:$D$98,2,FALSE)</f>
        <v>kg</v>
      </c>
      <c r="F175" s="41">
        <f>8/1000</f>
        <v>8.0000000000000002E-3</v>
      </c>
      <c r="G175" s="46">
        <f t="shared" si="10"/>
        <v>38.333333333333336</v>
      </c>
      <c r="H175" s="100">
        <f t="shared" si="9"/>
        <v>2.0869565217391303E-4</v>
      </c>
      <c r="I175" s="65">
        <f t="shared" si="7"/>
        <v>6000</v>
      </c>
      <c r="J175" s="101">
        <f t="shared" si="8"/>
        <v>1.2521739130434781</v>
      </c>
    </row>
    <row r="176" spans="2:10" ht="14.25" customHeight="1" x14ac:dyDescent="0.3">
      <c r="B176" s="39" t="s">
        <v>126</v>
      </c>
      <c r="C176" s="39" t="s">
        <v>62</v>
      </c>
      <c r="D176" s="39" t="s">
        <v>6</v>
      </c>
      <c r="E176" s="40" t="str">
        <f>+VLOOKUP(D176,'1) Planilla maestra insumos'!$B$3:$D$98,2,FALSE)</f>
        <v>kg</v>
      </c>
      <c r="F176" s="41">
        <v>0.93</v>
      </c>
      <c r="G176" s="46">
        <f t="shared" si="10"/>
        <v>38.333333333333336</v>
      </c>
      <c r="H176" s="100">
        <f t="shared" si="9"/>
        <v>2.4260869565217391E-2</v>
      </c>
      <c r="I176" s="65">
        <f t="shared" si="7"/>
        <v>1263.5</v>
      </c>
      <c r="J176" s="101">
        <f t="shared" si="8"/>
        <v>30.653608695652174</v>
      </c>
    </row>
    <row r="177" spans="2:10" ht="14.25" customHeight="1" x14ac:dyDescent="0.3">
      <c r="B177" s="39" t="s">
        <v>126</v>
      </c>
      <c r="C177" s="39" t="s">
        <v>62</v>
      </c>
      <c r="D177" s="39" t="s">
        <v>8</v>
      </c>
      <c r="E177" s="40" t="str">
        <f>+VLOOKUP(D177,'1) Planilla maestra insumos'!$B$3:$D$98,2,FALSE)</f>
        <v>kg</v>
      </c>
      <c r="F177" s="41">
        <v>0.52</v>
      </c>
      <c r="G177" s="46">
        <f t="shared" si="10"/>
        <v>38.333333333333336</v>
      </c>
      <c r="H177" s="100">
        <f t="shared" si="9"/>
        <v>1.3565217391304348E-2</v>
      </c>
      <c r="I177" s="65">
        <f t="shared" si="7"/>
        <v>3093.8</v>
      </c>
      <c r="J177" s="101">
        <f t="shared" si="8"/>
        <v>41.968069565217391</v>
      </c>
    </row>
    <row r="178" spans="2:10" ht="14.25" customHeight="1" x14ac:dyDescent="0.3">
      <c r="B178" s="39" t="s">
        <v>126</v>
      </c>
      <c r="C178" s="39" t="s">
        <v>62</v>
      </c>
      <c r="D178" s="39" t="s">
        <v>40</v>
      </c>
      <c r="E178" s="40" t="str">
        <f>+VLOOKUP(D178,'1) Planilla maestra insumos'!$B$3:$D$98,2,FALSE)</f>
        <v>kg</v>
      </c>
      <c r="F178" s="41">
        <v>0.76800000000000002</v>
      </c>
      <c r="G178" s="46">
        <f t="shared" si="10"/>
        <v>38.333333333333336</v>
      </c>
      <c r="H178" s="100">
        <f t="shared" si="9"/>
        <v>2.003478260869565E-2</v>
      </c>
      <c r="I178" s="65">
        <f t="shared" si="7"/>
        <v>11006.6</v>
      </c>
      <c r="J178" s="101">
        <f t="shared" si="8"/>
        <v>220.51483826086957</v>
      </c>
    </row>
    <row r="179" spans="2:10" ht="14.25" customHeight="1" x14ac:dyDescent="0.3">
      <c r="B179" s="39" t="s">
        <v>126</v>
      </c>
      <c r="C179" s="39" t="s">
        <v>62</v>
      </c>
      <c r="D179" s="39" t="s">
        <v>36</v>
      </c>
      <c r="E179" s="40" t="str">
        <f>+VLOOKUP(D179,'1) Planilla maestra insumos'!$B$3:$D$98,2,FALSE)</f>
        <v>unidades</v>
      </c>
      <c r="F179" s="41">
        <v>7</v>
      </c>
      <c r="G179" s="46">
        <f t="shared" si="10"/>
        <v>38.333333333333336</v>
      </c>
      <c r="H179" s="100">
        <f t="shared" si="9"/>
        <v>0.18260869565217391</v>
      </c>
      <c r="I179" s="65">
        <f t="shared" si="7"/>
        <v>176.66666666666666</v>
      </c>
      <c r="J179" s="101">
        <f t="shared" si="8"/>
        <v>32.260869565217391</v>
      </c>
    </row>
    <row r="180" spans="2:10" ht="14.25" customHeight="1" x14ac:dyDescent="0.3">
      <c r="B180" s="39" t="s">
        <v>126</v>
      </c>
      <c r="C180" s="39" t="s">
        <v>62</v>
      </c>
      <c r="D180" s="39" t="s">
        <v>23</v>
      </c>
      <c r="E180" s="40" t="str">
        <f>+VLOOKUP(D180,'1) Planilla maestra insumos'!$B$3:$D$98,2,FALSE)</f>
        <v>kg</v>
      </c>
      <c r="F180" s="41">
        <v>0.36</v>
      </c>
      <c r="G180" s="46">
        <f t="shared" si="10"/>
        <v>38.333333333333336</v>
      </c>
      <c r="H180" s="100">
        <f t="shared" si="9"/>
        <v>9.3913043478260853E-3</v>
      </c>
      <c r="I180" s="65">
        <f t="shared" si="7"/>
        <v>10524.5</v>
      </c>
      <c r="J180" s="101">
        <f t="shared" si="8"/>
        <v>98.838782608695638</v>
      </c>
    </row>
    <row r="181" spans="2:10" ht="14.25" customHeight="1" x14ac:dyDescent="0.3">
      <c r="B181" s="39" t="s">
        <v>126</v>
      </c>
      <c r="C181" s="39" t="s">
        <v>62</v>
      </c>
      <c r="D181" s="39" t="s">
        <v>30</v>
      </c>
      <c r="E181" s="40" t="str">
        <f>+VLOOKUP(D181,'1) Planilla maestra insumos'!$B$3:$D$98,2,FALSE)</f>
        <v>Lt</v>
      </c>
      <c r="F181" s="41">
        <f>15/1000</f>
        <v>1.4999999999999999E-2</v>
      </c>
      <c r="G181" s="46">
        <f t="shared" si="10"/>
        <v>38.333333333333336</v>
      </c>
      <c r="H181" s="100">
        <f t="shared" si="9"/>
        <v>3.9130434782608692E-4</v>
      </c>
      <c r="I181" s="65">
        <f t="shared" si="7"/>
        <v>26841.8</v>
      </c>
      <c r="J181" s="101">
        <f t="shared" si="8"/>
        <v>10.50331304347826</v>
      </c>
    </row>
    <row r="182" spans="2:10" ht="14.25" customHeight="1" x14ac:dyDescent="0.3">
      <c r="B182" s="39" t="s">
        <v>126</v>
      </c>
      <c r="C182" s="39" t="s">
        <v>62</v>
      </c>
      <c r="D182" s="39" t="s">
        <v>128</v>
      </c>
      <c r="E182" s="40" t="str">
        <f>+VLOOKUP(D182,'1) Planilla maestra insumos'!$B$3:$D$98,2,FALSE)</f>
        <v>Lt</v>
      </c>
      <c r="F182" s="41">
        <v>1.4999999999999999E-2</v>
      </c>
      <c r="G182" s="46">
        <f t="shared" si="10"/>
        <v>38.333333333333336</v>
      </c>
      <c r="H182" s="100">
        <f t="shared" si="9"/>
        <v>3.9130434782608692E-4</v>
      </c>
      <c r="I182" s="65">
        <f t="shared" si="7"/>
        <v>8437.1428571428569</v>
      </c>
      <c r="J182" s="101">
        <f t="shared" si="8"/>
        <v>3.3014906832298134</v>
      </c>
    </row>
    <row r="183" spans="2:10" ht="14.25" customHeight="1" x14ac:dyDescent="0.3">
      <c r="B183" s="39" t="s">
        <v>126</v>
      </c>
      <c r="C183" s="39" t="s">
        <v>62</v>
      </c>
      <c r="D183" s="39" t="s">
        <v>24</v>
      </c>
      <c r="E183" s="40" t="str">
        <f>+VLOOKUP(D183,'1) Planilla maestra insumos'!$B$3:$D$98,2,FALSE)</f>
        <v>gr</v>
      </c>
      <c r="F183" s="41">
        <v>6.58</v>
      </c>
      <c r="G183" s="46">
        <f t="shared" si="10"/>
        <v>38.333333333333336</v>
      </c>
      <c r="H183" s="100">
        <f t="shared" si="9"/>
        <v>0.17165217391304347</v>
      </c>
      <c r="I183" s="65">
        <f t="shared" si="7"/>
        <v>7.968</v>
      </c>
      <c r="J183" s="101">
        <f t="shared" si="8"/>
        <v>1.3677245217391303</v>
      </c>
    </row>
    <row r="184" spans="2:10" ht="14.25" customHeight="1" x14ac:dyDescent="0.3">
      <c r="B184" s="39" t="s">
        <v>127</v>
      </c>
      <c r="C184" s="39" t="s">
        <v>62</v>
      </c>
      <c r="D184" s="39" t="s">
        <v>40</v>
      </c>
      <c r="E184" s="40" t="str">
        <f>+VLOOKUP(D184,'1) Planilla maestra insumos'!$B$3:$D$98,2,FALSE)</f>
        <v>kg</v>
      </c>
      <c r="F184" s="41">
        <v>0.76800000000000002</v>
      </c>
      <c r="G184" s="41">
        <v>39</v>
      </c>
      <c r="H184" s="100">
        <f t="shared" si="9"/>
        <v>1.9692307692307693E-2</v>
      </c>
      <c r="I184" s="65">
        <f t="shared" ref="I184:I195" si="11">+VLOOKUP(D184,Insumos,5,FALSE)</f>
        <v>11006.6</v>
      </c>
      <c r="J184" s="101">
        <f t="shared" ref="J184:J195" si="12">+H184*I184</f>
        <v>216.74535384615385</v>
      </c>
    </row>
    <row r="185" spans="2:10" ht="14.25" customHeight="1" x14ac:dyDescent="0.3">
      <c r="B185" s="39" t="s">
        <v>127</v>
      </c>
      <c r="C185" s="39" t="s">
        <v>62</v>
      </c>
      <c r="D185" s="39" t="s">
        <v>6</v>
      </c>
      <c r="E185" s="40" t="str">
        <f>+VLOOKUP(D185,'1) Planilla maestra insumos'!$B$3:$D$98,2,FALSE)</f>
        <v>kg</v>
      </c>
      <c r="F185" s="41">
        <v>0.93</v>
      </c>
      <c r="G185" s="41">
        <v>39</v>
      </c>
      <c r="H185" s="100">
        <f t="shared" si="9"/>
        <v>2.3846153846153847E-2</v>
      </c>
      <c r="I185" s="65">
        <f t="shared" si="11"/>
        <v>1263.5</v>
      </c>
      <c r="J185" s="101">
        <f t="shared" si="12"/>
        <v>30.129615384615384</v>
      </c>
    </row>
    <row r="186" spans="2:10" ht="14.25" customHeight="1" x14ac:dyDescent="0.3">
      <c r="B186" s="39" t="s">
        <v>127</v>
      </c>
      <c r="C186" s="39" t="s">
        <v>62</v>
      </c>
      <c r="D186" s="39" t="s">
        <v>8</v>
      </c>
      <c r="E186" s="40" t="str">
        <f>+VLOOKUP(D186,'1) Planilla maestra insumos'!$B$3:$D$98,2,FALSE)</f>
        <v>kg</v>
      </c>
      <c r="F186" s="41">
        <f>520/1000</f>
        <v>0.52</v>
      </c>
      <c r="G186" s="41">
        <v>39</v>
      </c>
      <c r="H186" s="100">
        <f t="shared" si="9"/>
        <v>1.3333333333333334E-2</v>
      </c>
      <c r="I186" s="65">
        <f t="shared" si="11"/>
        <v>3093.8</v>
      </c>
      <c r="J186" s="101">
        <f t="shared" si="12"/>
        <v>41.250666666666675</v>
      </c>
    </row>
    <row r="187" spans="2:10" ht="14.25" customHeight="1" x14ac:dyDescent="0.3">
      <c r="B187" s="39" t="s">
        <v>127</v>
      </c>
      <c r="C187" s="39" t="s">
        <v>62</v>
      </c>
      <c r="D187" s="39" t="s">
        <v>36</v>
      </c>
      <c r="E187" s="40" t="str">
        <f>+VLOOKUP(D187,'1) Planilla maestra insumos'!$B$3:$D$98,2,FALSE)</f>
        <v>unidades</v>
      </c>
      <c r="F187" s="39">
        <v>7</v>
      </c>
      <c r="G187" s="41">
        <v>39</v>
      </c>
      <c r="H187" s="100">
        <f t="shared" si="9"/>
        <v>0.17948717948717949</v>
      </c>
      <c r="I187" s="65">
        <f t="shared" si="11"/>
        <v>176.66666666666666</v>
      </c>
      <c r="J187" s="101">
        <f t="shared" si="12"/>
        <v>31.709401709401707</v>
      </c>
    </row>
    <row r="188" spans="2:10" ht="14.25" customHeight="1" x14ac:dyDescent="0.3">
      <c r="B188" s="39" t="s">
        <v>127</v>
      </c>
      <c r="C188" s="39" t="s">
        <v>62</v>
      </c>
      <c r="D188" s="39" t="s">
        <v>30</v>
      </c>
      <c r="E188" s="40" t="str">
        <f>+VLOOKUP(D188,'1) Planilla maestra insumos'!$B$3:$D$98,2,FALSE)</f>
        <v>Lt</v>
      </c>
      <c r="F188" s="41">
        <v>0.03</v>
      </c>
      <c r="G188" s="41">
        <v>39</v>
      </c>
      <c r="H188" s="100">
        <f t="shared" si="9"/>
        <v>7.6923076923076923E-4</v>
      </c>
      <c r="I188" s="65">
        <f t="shared" si="11"/>
        <v>26841.8</v>
      </c>
      <c r="J188" s="101">
        <f t="shared" si="12"/>
        <v>20.64753846153846</v>
      </c>
    </row>
    <row r="189" spans="2:10" ht="14.25" customHeight="1" x14ac:dyDescent="0.3">
      <c r="B189" s="39" t="s">
        <v>127</v>
      </c>
      <c r="C189" s="39" t="s">
        <v>62</v>
      </c>
      <c r="D189" s="39" t="s">
        <v>35</v>
      </c>
      <c r="E189" s="40" t="str">
        <f>+VLOOKUP(D189,'1) Planilla maestra insumos'!$B$3:$D$98,2,FALSE)</f>
        <v>kg</v>
      </c>
      <c r="F189" s="41">
        <v>1</v>
      </c>
      <c r="G189" s="41">
        <v>39</v>
      </c>
      <c r="H189" s="100">
        <f t="shared" si="9"/>
        <v>2.564102564102564E-2</v>
      </c>
      <c r="I189" s="65">
        <f t="shared" si="11"/>
        <v>788</v>
      </c>
      <c r="J189" s="101">
        <f t="shared" si="12"/>
        <v>20.205128205128204</v>
      </c>
    </row>
    <row r="190" spans="2:10" ht="14.25" customHeight="1" x14ac:dyDescent="0.3">
      <c r="B190" s="39" t="s">
        <v>127</v>
      </c>
      <c r="C190" s="39" t="s">
        <v>62</v>
      </c>
      <c r="D190" s="39" t="s">
        <v>34</v>
      </c>
      <c r="E190" s="40" t="str">
        <f>+VLOOKUP(D190,'1) Planilla maestra insumos'!$B$3:$D$98,2,FALSE)</f>
        <v>kg</v>
      </c>
      <c r="F190" s="41">
        <v>0.62</v>
      </c>
      <c r="G190" s="41">
        <v>39</v>
      </c>
      <c r="H190" s="100">
        <f t="shared" si="9"/>
        <v>1.5897435897435898E-2</v>
      </c>
      <c r="I190" s="65">
        <f t="shared" si="11"/>
        <v>692</v>
      </c>
      <c r="J190" s="101">
        <f t="shared" si="12"/>
        <v>11.001025641025642</v>
      </c>
    </row>
    <row r="191" spans="2:10" ht="14.25" customHeight="1" x14ac:dyDescent="0.3">
      <c r="B191" s="39" t="s">
        <v>127</v>
      </c>
      <c r="C191" s="39" t="s">
        <v>62</v>
      </c>
      <c r="D191" s="39" t="s">
        <v>18</v>
      </c>
      <c r="E191" s="40" t="str">
        <f>+VLOOKUP(D191,'1) Planilla maestra insumos'!$B$3:$D$98,2,FALSE)</f>
        <v>kg</v>
      </c>
      <c r="F191" s="41">
        <v>0.18</v>
      </c>
      <c r="G191" s="41">
        <v>39</v>
      </c>
      <c r="H191" s="100">
        <f t="shared" si="9"/>
        <v>4.6153846153846149E-3</v>
      </c>
      <c r="I191" s="65">
        <f t="shared" si="11"/>
        <v>23970</v>
      </c>
      <c r="J191" s="101">
        <f t="shared" si="12"/>
        <v>110.63076923076922</v>
      </c>
    </row>
    <row r="192" spans="2:10" ht="14.25" customHeight="1" x14ac:dyDescent="0.3">
      <c r="B192" s="39" t="s">
        <v>127</v>
      </c>
      <c r="C192" s="39" t="s">
        <v>62</v>
      </c>
      <c r="D192" s="39" t="s">
        <v>44</v>
      </c>
      <c r="E192" s="40" t="str">
        <f>+VLOOKUP(D192,'1) Planilla maestra insumos'!$B$3:$D$98,2,FALSE)</f>
        <v>kg</v>
      </c>
      <c r="F192" s="41">
        <v>0.03</v>
      </c>
      <c r="G192" s="41">
        <v>39</v>
      </c>
      <c r="H192" s="100">
        <f t="shared" si="9"/>
        <v>7.6923076923076923E-4</v>
      </c>
      <c r="I192" s="65">
        <f t="shared" si="11"/>
        <v>5455.333333333333</v>
      </c>
      <c r="J192" s="101">
        <f t="shared" si="12"/>
        <v>4.1964102564102559</v>
      </c>
    </row>
    <row r="193" spans="2:10" ht="14.25" customHeight="1" x14ac:dyDescent="0.3">
      <c r="B193" s="39" t="s">
        <v>127</v>
      </c>
      <c r="C193" s="39" t="s">
        <v>62</v>
      </c>
      <c r="D193" s="39" t="s">
        <v>11</v>
      </c>
      <c r="E193" s="40" t="str">
        <f>+VLOOKUP(D193,'1) Planilla maestra insumos'!$B$3:$D$98,2,FALSE)</f>
        <v>kg</v>
      </c>
      <c r="F193" s="41">
        <f>8/1000</f>
        <v>8.0000000000000002E-3</v>
      </c>
      <c r="G193" s="41">
        <v>39</v>
      </c>
      <c r="H193" s="100">
        <f t="shared" si="9"/>
        <v>2.0512820512820514E-4</v>
      </c>
      <c r="I193" s="65">
        <f t="shared" si="11"/>
        <v>6000</v>
      </c>
      <c r="J193" s="101">
        <f t="shared" si="12"/>
        <v>1.2307692307692308</v>
      </c>
    </row>
    <row r="194" spans="2:10" ht="14.25" customHeight="1" x14ac:dyDescent="0.3">
      <c r="B194" s="39" t="s">
        <v>127</v>
      </c>
      <c r="C194" s="39" t="s">
        <v>62</v>
      </c>
      <c r="D194" s="39" t="s">
        <v>22</v>
      </c>
      <c r="E194" s="40" t="str">
        <f>+VLOOKUP(D194,'1) Planilla maestra insumos'!$B$3:$D$98,2,FALSE)</f>
        <v>kg</v>
      </c>
      <c r="F194" s="41">
        <v>0.36</v>
      </c>
      <c r="G194" s="41">
        <v>39</v>
      </c>
      <c r="H194" s="100">
        <f t="shared" si="9"/>
        <v>9.2307692307692299E-3</v>
      </c>
      <c r="I194" s="65">
        <f t="shared" si="11"/>
        <v>10524.5</v>
      </c>
      <c r="J194" s="101">
        <f t="shared" si="12"/>
        <v>97.149230769230755</v>
      </c>
    </row>
    <row r="195" spans="2:10" ht="14.25" customHeight="1" x14ac:dyDescent="0.3">
      <c r="B195" s="39" t="s">
        <v>127</v>
      </c>
      <c r="C195" s="39" t="s">
        <v>62</v>
      </c>
      <c r="D195" s="39" t="s">
        <v>32</v>
      </c>
      <c r="E195" s="40" t="str">
        <f>+VLOOKUP(D195,'1) Planilla maestra insumos'!$B$3:$D$98,2,FALSE)</f>
        <v>gr</v>
      </c>
      <c r="F195" s="41">
        <v>6.81</v>
      </c>
      <c r="G195" s="41">
        <v>1</v>
      </c>
      <c r="H195" s="100">
        <f t="shared" si="9"/>
        <v>6.81</v>
      </c>
      <c r="I195" s="65">
        <f t="shared" si="11"/>
        <v>47.093333333333334</v>
      </c>
      <c r="J195" s="101">
        <f t="shared" si="12"/>
        <v>320.7056</v>
      </c>
    </row>
    <row r="196" spans="2:10" ht="14.25" customHeight="1" x14ac:dyDescent="0.3">
      <c r="B196" s="45"/>
      <c r="C196" s="48"/>
      <c r="D196" s="19"/>
      <c r="G196" s="45"/>
    </row>
    <row r="197" spans="2:10" ht="14.25" customHeight="1" x14ac:dyDescent="0.3">
      <c r="D197" s="19"/>
      <c r="G197" s="45"/>
    </row>
    <row r="198" spans="2:10" ht="14.25" customHeight="1" x14ac:dyDescent="0.3">
      <c r="D198" s="19"/>
      <c r="G198" s="45"/>
    </row>
    <row r="199" spans="2:10" ht="14.25" customHeight="1" x14ac:dyDescent="0.3">
      <c r="D199" s="19"/>
      <c r="G199" s="45"/>
      <c r="H199" s="16"/>
      <c r="I199" s="2"/>
      <c r="J199" s="14"/>
    </row>
    <row r="200" spans="2:10" ht="14.25" customHeight="1" x14ac:dyDescent="0.3">
      <c r="D200" s="19"/>
      <c r="G200" s="45"/>
      <c r="H200" s="16"/>
      <c r="I200" s="2"/>
      <c r="J200" s="14"/>
    </row>
    <row r="201" spans="2:10" ht="14.25" customHeight="1" x14ac:dyDescent="0.3">
      <c r="D201" s="19"/>
      <c r="G201" s="45"/>
      <c r="H201" s="16"/>
      <c r="I201" s="2"/>
      <c r="J201" s="14"/>
    </row>
    <row r="202" spans="2:10" ht="14.25" customHeight="1" x14ac:dyDescent="0.3">
      <c r="D202" s="19"/>
      <c r="G202" s="45"/>
      <c r="H202" s="16"/>
      <c r="I202" s="2"/>
      <c r="J202" s="14"/>
    </row>
    <row r="203" spans="2:10" ht="14.25" customHeight="1" x14ac:dyDescent="0.3">
      <c r="D203" s="19"/>
      <c r="G203" s="45"/>
      <c r="H203" s="16"/>
      <c r="I203" s="2"/>
      <c r="J203" s="14"/>
    </row>
    <row r="204" spans="2:10" ht="14.25" customHeight="1" x14ac:dyDescent="0.3">
      <c r="D204" s="19"/>
      <c r="G204" s="45"/>
      <c r="H204" s="16"/>
      <c r="I204" s="2"/>
      <c r="J204" s="14"/>
    </row>
    <row r="205" spans="2:10" ht="14.25" customHeight="1" x14ac:dyDescent="0.3">
      <c r="D205" s="19"/>
      <c r="G205" s="45"/>
      <c r="H205" s="16"/>
      <c r="I205" s="2"/>
      <c r="J205" s="14"/>
    </row>
    <row r="206" spans="2:10" ht="14.25" customHeight="1" x14ac:dyDescent="0.3">
      <c r="D206" s="19"/>
      <c r="G206" s="45"/>
      <c r="H206" s="16"/>
      <c r="I206" s="2"/>
      <c r="J206" s="14"/>
    </row>
    <row r="207" spans="2:10" ht="14.25" customHeight="1" x14ac:dyDescent="0.3">
      <c r="D207" s="19"/>
      <c r="G207" s="45"/>
      <c r="H207" s="16"/>
      <c r="I207" s="2"/>
      <c r="J207" s="14"/>
    </row>
    <row r="208" spans="2:10" ht="14.25" customHeight="1" x14ac:dyDescent="0.3">
      <c r="D208" s="19"/>
      <c r="H208" s="16"/>
      <c r="I208" s="2"/>
      <c r="J208" s="14"/>
    </row>
    <row r="209" spans="4:10" ht="14.25" customHeight="1" x14ac:dyDescent="0.3">
      <c r="D209" s="19"/>
      <c r="H209" s="16"/>
      <c r="I209" s="2"/>
      <c r="J209" s="14"/>
    </row>
    <row r="210" spans="4:10" ht="14.25" customHeight="1" x14ac:dyDescent="0.3">
      <c r="D210" s="19"/>
      <c r="H210" s="16"/>
      <c r="I210" s="2"/>
      <c r="J210" s="14"/>
    </row>
    <row r="211" spans="4:10" ht="14.25" customHeight="1" x14ac:dyDescent="0.3">
      <c r="D211" s="19"/>
      <c r="H211" s="16"/>
      <c r="I211" s="2"/>
      <c r="J211" s="14"/>
    </row>
    <row r="212" spans="4:10" ht="14.25" customHeight="1" x14ac:dyDescent="0.3">
      <c r="D212" s="19"/>
      <c r="H212" s="16"/>
      <c r="I212" s="2"/>
      <c r="J212" s="14"/>
    </row>
    <row r="213" spans="4:10" ht="14.25" customHeight="1" x14ac:dyDescent="0.3">
      <c r="D213" s="19"/>
      <c r="H213" s="16"/>
      <c r="I213" s="2"/>
      <c r="J213" s="14"/>
    </row>
    <row r="214" spans="4:10" ht="14.25" customHeight="1" x14ac:dyDescent="0.3">
      <c r="D214" s="19"/>
      <c r="H214" s="16"/>
      <c r="I214" s="2"/>
      <c r="J214" s="14"/>
    </row>
    <row r="215" spans="4:10" ht="14.25" customHeight="1" x14ac:dyDescent="0.3">
      <c r="D215" s="19"/>
      <c r="H215" s="16"/>
      <c r="I215" s="2"/>
      <c r="J215" s="14"/>
    </row>
    <row r="216" spans="4:10" ht="14.25" customHeight="1" x14ac:dyDescent="0.3">
      <c r="D216" s="19"/>
      <c r="H216" s="16"/>
      <c r="I216" s="2"/>
      <c r="J216" s="14"/>
    </row>
    <row r="217" spans="4:10" ht="14.25" customHeight="1" x14ac:dyDescent="0.3">
      <c r="D217" s="19"/>
      <c r="H217" s="16"/>
      <c r="I217" s="2"/>
      <c r="J217" s="14"/>
    </row>
    <row r="218" spans="4:10" ht="14.25" customHeight="1" x14ac:dyDescent="0.3">
      <c r="D218" s="19"/>
      <c r="H218" s="16"/>
      <c r="I218" s="2"/>
      <c r="J218" s="14"/>
    </row>
    <row r="219" spans="4:10" ht="14.25" customHeight="1" x14ac:dyDescent="0.3">
      <c r="D219" s="19"/>
      <c r="H219" s="16"/>
      <c r="I219" s="2"/>
      <c r="J219" s="14"/>
    </row>
    <row r="220" spans="4:10" ht="14.25" customHeight="1" x14ac:dyDescent="0.3">
      <c r="D220" s="19"/>
      <c r="H220" s="16"/>
      <c r="I220" s="2"/>
      <c r="J220" s="14"/>
    </row>
    <row r="221" spans="4:10" ht="14.25" customHeight="1" x14ac:dyDescent="0.3">
      <c r="D221" s="19"/>
      <c r="H221" s="16"/>
      <c r="I221" s="2"/>
      <c r="J221" s="14"/>
    </row>
    <row r="222" spans="4:10" ht="14.25" customHeight="1" x14ac:dyDescent="0.3">
      <c r="D222" s="19"/>
      <c r="H222" s="16"/>
      <c r="I222" s="2"/>
      <c r="J222" s="14"/>
    </row>
    <row r="223" spans="4:10" ht="14.25" customHeight="1" x14ac:dyDescent="0.3">
      <c r="D223" s="19"/>
      <c r="H223" s="16"/>
      <c r="I223" s="2"/>
      <c r="J223" s="14"/>
    </row>
    <row r="224" spans="4:10" ht="14.25" customHeight="1" x14ac:dyDescent="0.3">
      <c r="D224" s="19"/>
      <c r="H224" s="16"/>
      <c r="I224" s="2"/>
      <c r="J224" s="14"/>
    </row>
    <row r="225" spans="4:10" ht="14.25" customHeight="1" x14ac:dyDescent="0.3">
      <c r="D225" s="19"/>
      <c r="H225" s="16"/>
      <c r="I225" s="2"/>
      <c r="J225" s="14"/>
    </row>
    <row r="226" spans="4:10" ht="14.25" customHeight="1" x14ac:dyDescent="0.3">
      <c r="D226" s="19"/>
      <c r="H226" s="16"/>
      <c r="I226" s="2"/>
      <c r="J226" s="14"/>
    </row>
    <row r="227" spans="4:10" ht="14.25" customHeight="1" x14ac:dyDescent="0.3">
      <c r="D227" s="19"/>
      <c r="H227" s="16"/>
      <c r="I227" s="2"/>
      <c r="J227" s="14"/>
    </row>
    <row r="228" spans="4:10" ht="14.25" customHeight="1" x14ac:dyDescent="0.3">
      <c r="D228" s="19"/>
      <c r="H228" s="16"/>
      <c r="I228" s="2"/>
      <c r="J228" s="14"/>
    </row>
    <row r="229" spans="4:10" ht="14.25" customHeight="1" x14ac:dyDescent="0.3">
      <c r="D229" s="19"/>
      <c r="H229" s="16"/>
      <c r="I229" s="2"/>
      <c r="J229" s="14"/>
    </row>
    <row r="230" spans="4:10" ht="14.25" customHeight="1" x14ac:dyDescent="0.3">
      <c r="D230" s="19"/>
      <c r="H230" s="16"/>
      <c r="I230" s="2"/>
      <c r="J230" s="14"/>
    </row>
    <row r="231" spans="4:10" ht="14.25" customHeight="1" x14ac:dyDescent="0.3">
      <c r="D231" s="19"/>
      <c r="H231" s="16"/>
      <c r="I231" s="2"/>
      <c r="J231" s="14"/>
    </row>
    <row r="232" spans="4:10" ht="14.25" customHeight="1" x14ac:dyDescent="0.3">
      <c r="D232" s="19"/>
      <c r="H232" s="16"/>
      <c r="I232" s="2"/>
      <c r="J232" s="14"/>
    </row>
    <row r="233" spans="4:10" ht="14.25" customHeight="1" x14ac:dyDescent="0.3">
      <c r="D233" s="19"/>
      <c r="H233" s="16"/>
      <c r="I233" s="2"/>
      <c r="J233" s="14"/>
    </row>
    <row r="234" spans="4:10" ht="14.25" customHeight="1" x14ac:dyDescent="0.3">
      <c r="D234" s="19"/>
      <c r="H234" s="16"/>
      <c r="I234" s="2"/>
      <c r="J234" s="14"/>
    </row>
    <row r="235" spans="4:10" ht="14.25" customHeight="1" x14ac:dyDescent="0.3">
      <c r="D235" s="19"/>
      <c r="H235" s="16"/>
      <c r="I235" s="2"/>
      <c r="J235" s="14"/>
    </row>
    <row r="236" spans="4:10" ht="14.25" customHeight="1" x14ac:dyDescent="0.3">
      <c r="D236" s="19"/>
      <c r="H236" s="16"/>
      <c r="I236" s="2"/>
      <c r="J236" s="14"/>
    </row>
    <row r="237" spans="4:10" ht="14.25" customHeight="1" x14ac:dyDescent="0.3">
      <c r="D237" s="19"/>
      <c r="H237" s="16"/>
      <c r="I237" s="2"/>
      <c r="J237" s="14"/>
    </row>
    <row r="238" spans="4:10" ht="14.25" customHeight="1" x14ac:dyDescent="0.3">
      <c r="D238" s="19"/>
      <c r="H238" s="16"/>
      <c r="I238" s="2"/>
      <c r="J238" s="14"/>
    </row>
    <row r="239" spans="4:10" ht="14.25" customHeight="1" x14ac:dyDescent="0.3">
      <c r="D239" s="19"/>
      <c r="H239" s="16"/>
      <c r="I239" s="2"/>
      <c r="J239" s="14"/>
    </row>
    <row r="240" spans="4:10" ht="14.25" customHeight="1" x14ac:dyDescent="0.3">
      <c r="D240" s="19"/>
      <c r="H240" s="16"/>
      <c r="I240" s="2"/>
      <c r="J240" s="14"/>
    </row>
    <row r="241" spans="4:10" ht="14.25" customHeight="1" x14ac:dyDescent="0.3">
      <c r="D241" s="19"/>
      <c r="H241" s="16"/>
      <c r="I241" s="2"/>
      <c r="J241" s="14"/>
    </row>
    <row r="242" spans="4:10" ht="14.25" customHeight="1" x14ac:dyDescent="0.3">
      <c r="D242" s="19"/>
      <c r="H242" s="16"/>
      <c r="I242" s="2"/>
      <c r="J242" s="14"/>
    </row>
    <row r="243" spans="4:10" ht="14.25" customHeight="1" x14ac:dyDescent="0.3">
      <c r="D243" s="19"/>
      <c r="H243" s="16"/>
      <c r="I243" s="2"/>
      <c r="J243" s="14"/>
    </row>
    <row r="244" spans="4:10" ht="14.25" customHeight="1" x14ac:dyDescent="0.3">
      <c r="D244" s="19"/>
      <c r="H244" s="16"/>
      <c r="I244" s="2"/>
      <c r="J244" s="14"/>
    </row>
    <row r="245" spans="4:10" ht="14.25" customHeight="1" x14ac:dyDescent="0.3">
      <c r="D245" s="19"/>
      <c r="H245" s="16"/>
      <c r="I245" s="2"/>
      <c r="J245" s="14"/>
    </row>
    <row r="246" spans="4:10" ht="14.25" customHeight="1" x14ac:dyDescent="0.3">
      <c r="D246" s="19"/>
      <c r="H246" s="16"/>
      <c r="I246" s="2"/>
      <c r="J246" s="14"/>
    </row>
    <row r="247" spans="4:10" ht="14.25" customHeight="1" x14ac:dyDescent="0.3">
      <c r="D247" s="19"/>
      <c r="H247" s="16"/>
      <c r="I247" s="2"/>
      <c r="J247" s="14"/>
    </row>
    <row r="248" spans="4:10" ht="14.25" customHeight="1" x14ac:dyDescent="0.3">
      <c r="D248" s="19"/>
      <c r="H248" s="16"/>
      <c r="I248" s="2"/>
      <c r="J248" s="14"/>
    </row>
    <row r="249" spans="4:10" ht="14.25" customHeight="1" x14ac:dyDescent="0.3">
      <c r="D249" s="19"/>
      <c r="H249" s="16"/>
      <c r="I249" s="2"/>
      <c r="J249" s="14"/>
    </row>
    <row r="250" spans="4:10" ht="14.25" customHeight="1" x14ac:dyDescent="0.3">
      <c r="D250" s="19"/>
      <c r="H250" s="16"/>
      <c r="I250" s="2"/>
      <c r="J250" s="14"/>
    </row>
    <row r="251" spans="4:10" ht="14.25" customHeight="1" x14ac:dyDescent="0.3">
      <c r="D251" s="19"/>
      <c r="H251" s="16"/>
      <c r="I251" s="2"/>
      <c r="J251" s="14"/>
    </row>
    <row r="252" spans="4:10" ht="14.25" customHeight="1" x14ac:dyDescent="0.3">
      <c r="D252" s="19"/>
      <c r="H252" s="16"/>
      <c r="I252" s="2"/>
      <c r="J252" s="14"/>
    </row>
    <row r="253" spans="4:10" ht="14.25" customHeight="1" x14ac:dyDescent="0.3">
      <c r="D253" s="19"/>
      <c r="H253" s="16"/>
      <c r="I253" s="2"/>
      <c r="J253" s="14"/>
    </row>
    <row r="254" spans="4:10" ht="14.25" customHeight="1" x14ac:dyDescent="0.3">
      <c r="D254" s="19"/>
      <c r="H254" s="16"/>
      <c r="I254" s="2"/>
      <c r="J254" s="14"/>
    </row>
    <row r="255" spans="4:10" ht="14.25" customHeight="1" x14ac:dyDescent="0.3">
      <c r="D255" s="19"/>
      <c r="H255" s="16"/>
      <c r="I255" s="2"/>
      <c r="J255" s="14"/>
    </row>
    <row r="256" spans="4:10" ht="14.25" customHeight="1" x14ac:dyDescent="0.3">
      <c r="D256" s="19"/>
      <c r="H256" s="16"/>
      <c r="I256" s="2"/>
      <c r="J256" s="14"/>
    </row>
    <row r="257" spans="4:10" ht="14.25" customHeight="1" x14ac:dyDescent="0.3">
      <c r="D257" s="19"/>
      <c r="H257" s="16"/>
      <c r="I257" s="2"/>
      <c r="J257" s="14"/>
    </row>
    <row r="258" spans="4:10" ht="14.25" customHeight="1" x14ac:dyDescent="0.3">
      <c r="D258" s="19"/>
      <c r="H258" s="16"/>
      <c r="I258" s="2"/>
      <c r="J258" s="14"/>
    </row>
    <row r="259" spans="4:10" ht="14.25" customHeight="1" x14ac:dyDescent="0.3">
      <c r="D259" s="19"/>
      <c r="H259" s="16"/>
      <c r="I259" s="2"/>
      <c r="J259" s="14"/>
    </row>
    <row r="260" spans="4:10" ht="14.25" customHeight="1" x14ac:dyDescent="0.3">
      <c r="D260" s="19"/>
      <c r="H260" s="16"/>
      <c r="I260" s="2"/>
      <c r="J260" s="14"/>
    </row>
    <row r="261" spans="4:10" ht="14.25" customHeight="1" x14ac:dyDescent="0.3">
      <c r="D261" s="19"/>
      <c r="H261" s="16"/>
      <c r="I261" s="2"/>
      <c r="J261" s="14"/>
    </row>
    <row r="262" spans="4:10" ht="14.25" customHeight="1" x14ac:dyDescent="0.3">
      <c r="D262" s="19"/>
      <c r="H262" s="16"/>
      <c r="I262" s="2"/>
      <c r="J262" s="14"/>
    </row>
    <row r="263" spans="4:10" ht="14.25" customHeight="1" x14ac:dyDescent="0.3">
      <c r="D263" s="19"/>
      <c r="H263" s="16"/>
      <c r="I263" s="2"/>
      <c r="J263" s="14"/>
    </row>
    <row r="264" spans="4:10" ht="14.25" customHeight="1" x14ac:dyDescent="0.3">
      <c r="D264" s="19"/>
      <c r="H264" s="16"/>
      <c r="I264" s="2"/>
      <c r="J264" s="14"/>
    </row>
    <row r="265" spans="4:10" ht="14.25" customHeight="1" x14ac:dyDescent="0.3">
      <c r="D265" s="19"/>
      <c r="H265" s="16"/>
      <c r="I265" s="2"/>
      <c r="J265" s="14"/>
    </row>
    <row r="266" spans="4:10" ht="14.25" customHeight="1" x14ac:dyDescent="0.3">
      <c r="D266" s="19"/>
      <c r="H266" s="16"/>
      <c r="I266" s="2"/>
      <c r="J266" s="14"/>
    </row>
    <row r="267" spans="4:10" ht="14.25" customHeight="1" x14ac:dyDescent="0.3">
      <c r="D267" s="19"/>
      <c r="H267" s="16"/>
      <c r="I267" s="2"/>
      <c r="J267" s="14"/>
    </row>
    <row r="268" spans="4:10" ht="14.25" customHeight="1" x14ac:dyDescent="0.3">
      <c r="D268" s="19"/>
      <c r="H268" s="16"/>
      <c r="I268" s="2"/>
      <c r="J268" s="14"/>
    </row>
    <row r="269" spans="4:10" ht="14.25" customHeight="1" x14ac:dyDescent="0.3">
      <c r="D269" s="19"/>
      <c r="H269" s="16"/>
      <c r="I269" s="2"/>
      <c r="J269" s="14"/>
    </row>
    <row r="270" spans="4:10" ht="14.25" customHeight="1" x14ac:dyDescent="0.3">
      <c r="D270" s="19"/>
      <c r="H270" s="16"/>
      <c r="I270" s="2"/>
      <c r="J270" s="14"/>
    </row>
    <row r="271" spans="4:10" ht="14.25" customHeight="1" x14ac:dyDescent="0.3">
      <c r="D271" s="19"/>
      <c r="H271" s="16"/>
      <c r="I271" s="2"/>
      <c r="J271" s="14"/>
    </row>
    <row r="272" spans="4:10" ht="14.25" customHeight="1" x14ac:dyDescent="0.3">
      <c r="D272" s="19"/>
      <c r="H272" s="16"/>
      <c r="I272" s="2"/>
      <c r="J272" s="14"/>
    </row>
    <row r="273" spans="4:10" ht="14.25" customHeight="1" x14ac:dyDescent="0.3">
      <c r="D273" s="19"/>
      <c r="H273" s="16"/>
      <c r="I273" s="2"/>
      <c r="J273" s="14"/>
    </row>
    <row r="274" spans="4:10" ht="14.25" customHeight="1" x14ac:dyDescent="0.3">
      <c r="D274" s="19"/>
      <c r="H274" s="16"/>
      <c r="I274" s="2"/>
      <c r="J274" s="14"/>
    </row>
    <row r="275" spans="4:10" ht="14.25" customHeight="1" x14ac:dyDescent="0.3">
      <c r="D275" s="19"/>
      <c r="H275" s="16"/>
      <c r="I275" s="2"/>
      <c r="J275" s="14"/>
    </row>
    <row r="276" spans="4:10" ht="14.25" customHeight="1" x14ac:dyDescent="0.3">
      <c r="D276" s="19"/>
      <c r="H276" s="16"/>
      <c r="I276" s="2"/>
      <c r="J276" s="14"/>
    </row>
    <row r="277" spans="4:10" ht="14.25" customHeight="1" x14ac:dyDescent="0.3">
      <c r="D277" s="19"/>
      <c r="H277" s="16"/>
      <c r="I277" s="2"/>
      <c r="J277" s="14"/>
    </row>
    <row r="278" spans="4:10" ht="14.25" customHeight="1" x14ac:dyDescent="0.3">
      <c r="D278" s="19"/>
      <c r="H278" s="16"/>
      <c r="I278" s="2"/>
      <c r="J278" s="14"/>
    </row>
    <row r="279" spans="4:10" ht="14.25" customHeight="1" x14ac:dyDescent="0.3">
      <c r="D279" s="19"/>
      <c r="H279" s="16"/>
      <c r="I279" s="2"/>
      <c r="J279" s="14"/>
    </row>
    <row r="280" spans="4:10" ht="14.25" customHeight="1" x14ac:dyDescent="0.3">
      <c r="D280" s="19"/>
      <c r="H280" s="16"/>
      <c r="I280" s="2"/>
      <c r="J280" s="14"/>
    </row>
    <row r="281" spans="4:10" ht="14.25" customHeight="1" x14ac:dyDescent="0.3">
      <c r="D281" s="19"/>
      <c r="H281" s="16"/>
      <c r="I281" s="2"/>
      <c r="J281" s="14"/>
    </row>
    <row r="282" spans="4:10" ht="14.25" customHeight="1" x14ac:dyDescent="0.3">
      <c r="D282" s="19"/>
      <c r="H282" s="16"/>
      <c r="I282" s="2"/>
      <c r="J282" s="14"/>
    </row>
    <row r="283" spans="4:10" ht="14.25" customHeight="1" x14ac:dyDescent="0.3">
      <c r="D283" s="19"/>
      <c r="H283" s="16"/>
      <c r="I283" s="2"/>
      <c r="J283" s="14"/>
    </row>
    <row r="284" spans="4:10" ht="14.25" customHeight="1" x14ac:dyDescent="0.3">
      <c r="D284" s="19"/>
      <c r="H284" s="16"/>
      <c r="I284" s="2"/>
      <c r="J284" s="14"/>
    </row>
    <row r="285" spans="4:10" ht="14.25" customHeight="1" x14ac:dyDescent="0.3">
      <c r="D285" s="19"/>
      <c r="H285" s="16"/>
      <c r="I285" s="2"/>
      <c r="J285" s="14"/>
    </row>
    <row r="286" spans="4:10" ht="14.25" customHeight="1" x14ac:dyDescent="0.3">
      <c r="D286" s="19"/>
      <c r="H286" s="16"/>
      <c r="I286" s="2"/>
      <c r="J286" s="14"/>
    </row>
    <row r="287" spans="4:10" ht="14.25" customHeight="1" x14ac:dyDescent="0.3">
      <c r="D287" s="19"/>
      <c r="H287" s="16"/>
      <c r="I287" s="2"/>
      <c r="J287" s="14"/>
    </row>
    <row r="288" spans="4:10" ht="14.25" customHeight="1" x14ac:dyDescent="0.3">
      <c r="D288" s="19"/>
      <c r="H288" s="16"/>
      <c r="I288" s="2"/>
      <c r="J288" s="14"/>
    </row>
    <row r="289" spans="4:10" ht="14.25" customHeight="1" x14ac:dyDescent="0.3">
      <c r="D289" s="19"/>
      <c r="H289" s="16"/>
      <c r="I289" s="2"/>
      <c r="J289" s="14"/>
    </row>
    <row r="290" spans="4:10" ht="14.25" customHeight="1" x14ac:dyDescent="0.3">
      <c r="D290" s="19"/>
      <c r="H290" s="16"/>
      <c r="I290" s="2"/>
      <c r="J290" s="14"/>
    </row>
    <row r="291" spans="4:10" ht="14.25" customHeight="1" x14ac:dyDescent="0.3">
      <c r="D291" s="19"/>
      <c r="H291" s="16"/>
      <c r="I291" s="2"/>
      <c r="J291" s="14"/>
    </row>
    <row r="292" spans="4:10" ht="14.25" customHeight="1" x14ac:dyDescent="0.3">
      <c r="D292" s="19"/>
      <c r="H292" s="16"/>
      <c r="I292" s="2"/>
      <c r="J292" s="14"/>
    </row>
    <row r="293" spans="4:10" ht="14.25" customHeight="1" x14ac:dyDescent="0.3">
      <c r="D293" s="19"/>
      <c r="H293" s="16"/>
      <c r="I293" s="2"/>
      <c r="J293" s="14"/>
    </row>
    <row r="294" spans="4:10" ht="14.25" customHeight="1" x14ac:dyDescent="0.3">
      <c r="D294" s="19"/>
      <c r="H294" s="16"/>
      <c r="I294" s="2"/>
      <c r="J294" s="14"/>
    </row>
    <row r="295" spans="4:10" ht="14.25" customHeight="1" x14ac:dyDescent="0.3">
      <c r="D295" s="19"/>
      <c r="H295" s="16"/>
      <c r="I295" s="2"/>
      <c r="J295" s="14"/>
    </row>
    <row r="296" spans="4:10" ht="14.25" customHeight="1" x14ac:dyDescent="0.3">
      <c r="D296" s="19"/>
      <c r="H296" s="16"/>
      <c r="I296" s="2"/>
      <c r="J296" s="14"/>
    </row>
    <row r="297" spans="4:10" ht="14.25" customHeight="1" x14ac:dyDescent="0.3">
      <c r="D297" s="19"/>
      <c r="H297" s="16"/>
      <c r="I297" s="2"/>
      <c r="J297" s="14"/>
    </row>
    <row r="298" spans="4:10" ht="14.25" customHeight="1" x14ac:dyDescent="0.3">
      <c r="D298" s="19"/>
      <c r="H298" s="16"/>
      <c r="I298" s="2"/>
      <c r="J298" s="14"/>
    </row>
    <row r="299" spans="4:10" ht="14.25" customHeight="1" x14ac:dyDescent="0.3">
      <c r="D299" s="19"/>
      <c r="H299" s="16"/>
      <c r="I299" s="2"/>
      <c r="J299" s="14"/>
    </row>
    <row r="300" spans="4:10" ht="14.25" customHeight="1" x14ac:dyDescent="0.3">
      <c r="D300" s="19"/>
      <c r="H300" s="16"/>
      <c r="I300" s="2"/>
      <c r="J300" s="14"/>
    </row>
    <row r="301" spans="4:10" ht="14.25" customHeight="1" x14ac:dyDescent="0.3">
      <c r="D301" s="19"/>
      <c r="H301" s="16"/>
      <c r="I301" s="2"/>
      <c r="J301" s="14"/>
    </row>
    <row r="302" spans="4:10" ht="14.25" customHeight="1" x14ac:dyDescent="0.3">
      <c r="D302" s="19"/>
      <c r="H302" s="16"/>
      <c r="I302" s="2"/>
      <c r="J302" s="14"/>
    </row>
    <row r="303" spans="4:10" ht="14.25" customHeight="1" x14ac:dyDescent="0.3">
      <c r="D303" s="19"/>
      <c r="H303" s="16"/>
      <c r="I303" s="2"/>
      <c r="J303" s="14"/>
    </row>
    <row r="304" spans="4:10" ht="14.25" customHeight="1" x14ac:dyDescent="0.3">
      <c r="D304" s="19"/>
      <c r="H304" s="16"/>
      <c r="I304" s="2"/>
      <c r="J304" s="14"/>
    </row>
    <row r="305" spans="4:10" ht="14.25" customHeight="1" x14ac:dyDescent="0.3">
      <c r="D305" s="19"/>
      <c r="H305" s="16"/>
      <c r="I305" s="2"/>
      <c r="J305" s="14"/>
    </row>
    <row r="306" spans="4:10" ht="14.25" customHeight="1" x14ac:dyDescent="0.3">
      <c r="D306" s="19"/>
      <c r="H306" s="16"/>
      <c r="I306" s="2"/>
      <c r="J306" s="14"/>
    </row>
    <row r="307" spans="4:10" ht="14.25" customHeight="1" x14ac:dyDescent="0.3">
      <c r="D307" s="19"/>
      <c r="H307" s="16"/>
      <c r="I307" s="2"/>
      <c r="J307" s="14"/>
    </row>
    <row r="308" spans="4:10" ht="14.25" customHeight="1" x14ac:dyDescent="0.3">
      <c r="D308" s="19"/>
      <c r="H308" s="16"/>
      <c r="I308" s="2"/>
      <c r="J308" s="14"/>
    </row>
    <row r="309" spans="4:10" ht="14.25" customHeight="1" x14ac:dyDescent="0.3">
      <c r="D309" s="19"/>
      <c r="H309" s="16"/>
      <c r="I309" s="2"/>
      <c r="J309" s="14"/>
    </row>
    <row r="310" spans="4:10" ht="14.25" customHeight="1" x14ac:dyDescent="0.3">
      <c r="D310" s="19"/>
      <c r="H310" s="16"/>
      <c r="I310" s="2"/>
      <c r="J310" s="14"/>
    </row>
    <row r="311" spans="4:10" ht="14.25" customHeight="1" x14ac:dyDescent="0.3">
      <c r="D311" s="19"/>
      <c r="H311" s="16"/>
      <c r="I311" s="2"/>
      <c r="J311" s="14"/>
    </row>
    <row r="312" spans="4:10" ht="14.25" customHeight="1" x14ac:dyDescent="0.3">
      <c r="D312" s="19"/>
      <c r="H312" s="16"/>
      <c r="I312" s="2"/>
      <c r="J312" s="14"/>
    </row>
    <row r="313" spans="4:10" ht="14.25" customHeight="1" x14ac:dyDescent="0.3">
      <c r="D313" s="19"/>
      <c r="H313" s="16"/>
      <c r="I313" s="2"/>
      <c r="J313" s="14"/>
    </row>
    <row r="314" spans="4:10" ht="14.25" customHeight="1" x14ac:dyDescent="0.3">
      <c r="D314" s="19"/>
      <c r="H314" s="16"/>
      <c r="I314" s="2"/>
      <c r="J314" s="14"/>
    </row>
    <row r="315" spans="4:10" ht="14.25" customHeight="1" x14ac:dyDescent="0.3">
      <c r="D315" s="19"/>
      <c r="H315" s="16"/>
      <c r="I315" s="2"/>
      <c r="J315" s="14"/>
    </row>
    <row r="316" spans="4:10" ht="14.25" customHeight="1" x14ac:dyDescent="0.3">
      <c r="D316" s="19"/>
      <c r="H316" s="16"/>
      <c r="I316" s="2"/>
      <c r="J316" s="14"/>
    </row>
    <row r="317" spans="4:10" ht="14.25" customHeight="1" x14ac:dyDescent="0.3">
      <c r="D317" s="19"/>
      <c r="H317" s="16"/>
      <c r="I317" s="2"/>
      <c r="J317" s="14"/>
    </row>
    <row r="318" spans="4:10" ht="14.25" customHeight="1" x14ac:dyDescent="0.3">
      <c r="D318" s="19"/>
      <c r="H318" s="16"/>
      <c r="I318" s="2"/>
      <c r="J318" s="14"/>
    </row>
    <row r="319" spans="4:10" ht="14.25" customHeight="1" x14ac:dyDescent="0.3">
      <c r="D319" s="19"/>
      <c r="H319" s="16"/>
      <c r="I319" s="2"/>
      <c r="J319" s="14"/>
    </row>
    <row r="320" spans="4:10" ht="14.25" customHeight="1" x14ac:dyDescent="0.3">
      <c r="D320" s="19"/>
      <c r="H320" s="16"/>
      <c r="I320" s="2"/>
      <c r="J320" s="14"/>
    </row>
    <row r="321" spans="4:10" ht="14.25" customHeight="1" x14ac:dyDescent="0.3">
      <c r="D321" s="19"/>
      <c r="H321" s="16"/>
      <c r="I321" s="2"/>
      <c r="J321" s="14"/>
    </row>
    <row r="322" spans="4:10" ht="14.25" customHeight="1" x14ac:dyDescent="0.3">
      <c r="D322" s="19"/>
      <c r="H322" s="16"/>
      <c r="I322" s="2"/>
      <c r="J322" s="14"/>
    </row>
    <row r="323" spans="4:10" ht="14.25" customHeight="1" x14ac:dyDescent="0.3">
      <c r="D323" s="19"/>
      <c r="H323" s="16"/>
      <c r="I323" s="2"/>
      <c r="J323" s="14"/>
    </row>
    <row r="324" spans="4:10" ht="14.25" customHeight="1" x14ac:dyDescent="0.3">
      <c r="D324" s="19"/>
      <c r="H324" s="16"/>
      <c r="I324" s="2"/>
      <c r="J324" s="14"/>
    </row>
    <row r="325" spans="4:10" ht="14.25" customHeight="1" x14ac:dyDescent="0.3">
      <c r="D325" s="19"/>
      <c r="H325" s="16"/>
      <c r="I325" s="2"/>
      <c r="J325" s="14"/>
    </row>
    <row r="326" spans="4:10" ht="14.25" customHeight="1" x14ac:dyDescent="0.3">
      <c r="D326" s="19"/>
      <c r="H326" s="16"/>
      <c r="I326" s="2"/>
      <c r="J326" s="14"/>
    </row>
    <row r="327" spans="4:10" ht="14.25" customHeight="1" x14ac:dyDescent="0.3">
      <c r="D327" s="19"/>
      <c r="H327" s="16"/>
      <c r="I327" s="2"/>
      <c r="J327" s="14"/>
    </row>
    <row r="328" spans="4:10" ht="14.25" customHeight="1" x14ac:dyDescent="0.3">
      <c r="D328" s="19"/>
      <c r="H328" s="16"/>
      <c r="I328" s="2"/>
      <c r="J328" s="14"/>
    </row>
    <row r="329" spans="4:10" ht="14.25" customHeight="1" x14ac:dyDescent="0.3">
      <c r="D329" s="19"/>
      <c r="H329" s="16"/>
      <c r="I329" s="2"/>
      <c r="J329" s="14"/>
    </row>
    <row r="330" spans="4:10" ht="14.25" customHeight="1" x14ac:dyDescent="0.3">
      <c r="D330" s="19"/>
      <c r="H330" s="16"/>
      <c r="I330" s="2"/>
      <c r="J330" s="14"/>
    </row>
    <row r="331" spans="4:10" ht="14.25" customHeight="1" x14ac:dyDescent="0.3">
      <c r="D331" s="19"/>
      <c r="H331" s="16"/>
      <c r="I331" s="2"/>
      <c r="J331" s="14"/>
    </row>
    <row r="332" spans="4:10" ht="14.25" customHeight="1" x14ac:dyDescent="0.3">
      <c r="D332" s="19"/>
      <c r="H332" s="16"/>
      <c r="I332" s="2"/>
      <c r="J332" s="14"/>
    </row>
    <row r="333" spans="4:10" ht="14.25" customHeight="1" x14ac:dyDescent="0.3">
      <c r="D333" s="19"/>
      <c r="H333" s="16"/>
      <c r="I333" s="2"/>
      <c r="J333" s="14"/>
    </row>
    <row r="334" spans="4:10" ht="14.25" customHeight="1" x14ac:dyDescent="0.3">
      <c r="D334" s="19"/>
      <c r="H334" s="16"/>
      <c r="I334" s="2"/>
      <c r="J334" s="14"/>
    </row>
    <row r="335" spans="4:10" ht="14.25" customHeight="1" x14ac:dyDescent="0.3">
      <c r="D335" s="19"/>
      <c r="H335" s="16"/>
      <c r="I335" s="2"/>
      <c r="J335" s="14"/>
    </row>
    <row r="336" spans="4:10" ht="14.25" customHeight="1" x14ac:dyDescent="0.3">
      <c r="D336" s="19"/>
      <c r="H336" s="16"/>
      <c r="I336" s="2"/>
      <c r="J336" s="14"/>
    </row>
    <row r="337" spans="4:10" ht="14.25" customHeight="1" x14ac:dyDescent="0.3">
      <c r="D337" s="19"/>
      <c r="H337" s="16"/>
      <c r="I337" s="2"/>
      <c r="J337" s="14"/>
    </row>
    <row r="338" spans="4:10" ht="14.25" customHeight="1" x14ac:dyDescent="0.3">
      <c r="D338" s="19"/>
      <c r="H338" s="16"/>
      <c r="I338" s="2"/>
      <c r="J338" s="14"/>
    </row>
    <row r="339" spans="4:10" ht="14.25" customHeight="1" x14ac:dyDescent="0.3">
      <c r="D339" s="19"/>
      <c r="H339" s="16"/>
      <c r="I339" s="2"/>
      <c r="J339" s="14"/>
    </row>
    <row r="340" spans="4:10" ht="14.25" customHeight="1" x14ac:dyDescent="0.3">
      <c r="D340" s="19"/>
      <c r="H340" s="16"/>
      <c r="I340" s="2"/>
      <c r="J340" s="14"/>
    </row>
    <row r="341" spans="4:10" ht="14.25" customHeight="1" x14ac:dyDescent="0.3">
      <c r="D341" s="19"/>
      <c r="H341" s="16"/>
      <c r="I341" s="2"/>
      <c r="J341" s="14"/>
    </row>
    <row r="342" spans="4:10" ht="14.25" customHeight="1" x14ac:dyDescent="0.3">
      <c r="D342" s="19"/>
      <c r="H342" s="16"/>
      <c r="I342" s="2"/>
      <c r="J342" s="14"/>
    </row>
    <row r="343" spans="4:10" ht="14.25" customHeight="1" x14ac:dyDescent="0.3">
      <c r="D343" s="19"/>
      <c r="H343" s="16"/>
      <c r="I343" s="2"/>
      <c r="J343" s="14"/>
    </row>
    <row r="344" spans="4:10" ht="14.25" customHeight="1" x14ac:dyDescent="0.3">
      <c r="D344" s="19"/>
      <c r="H344" s="16"/>
      <c r="I344" s="2"/>
      <c r="J344" s="14"/>
    </row>
    <row r="345" spans="4:10" ht="14.25" customHeight="1" x14ac:dyDescent="0.3">
      <c r="D345" s="19"/>
      <c r="H345" s="16"/>
      <c r="I345" s="2"/>
      <c r="J345" s="14"/>
    </row>
    <row r="346" spans="4:10" ht="14.25" customHeight="1" x14ac:dyDescent="0.3">
      <c r="D346" s="19"/>
      <c r="H346" s="16"/>
      <c r="I346" s="2"/>
      <c r="J346" s="14"/>
    </row>
    <row r="347" spans="4:10" ht="14.25" customHeight="1" x14ac:dyDescent="0.3">
      <c r="D347" s="19"/>
      <c r="H347" s="16"/>
      <c r="I347" s="2"/>
      <c r="J347" s="14"/>
    </row>
    <row r="348" spans="4:10" ht="14.25" customHeight="1" x14ac:dyDescent="0.3">
      <c r="D348" s="19"/>
      <c r="H348" s="16"/>
      <c r="I348" s="2"/>
      <c r="J348" s="14"/>
    </row>
    <row r="349" spans="4:10" ht="14.25" customHeight="1" x14ac:dyDescent="0.3">
      <c r="D349" s="19"/>
      <c r="H349" s="16"/>
      <c r="I349" s="2"/>
      <c r="J349" s="14"/>
    </row>
    <row r="350" spans="4:10" ht="14.25" customHeight="1" x14ac:dyDescent="0.3">
      <c r="D350" s="19"/>
      <c r="H350" s="16"/>
      <c r="I350" s="2"/>
      <c r="J350" s="14"/>
    </row>
    <row r="351" spans="4:10" ht="14.25" customHeight="1" x14ac:dyDescent="0.3">
      <c r="D351" s="19"/>
      <c r="H351" s="16"/>
      <c r="I351" s="2"/>
      <c r="J351" s="14"/>
    </row>
    <row r="352" spans="4:10" ht="14.25" customHeight="1" x14ac:dyDescent="0.3">
      <c r="D352" s="19"/>
      <c r="H352" s="16"/>
      <c r="I352" s="2"/>
      <c r="J352" s="14"/>
    </row>
    <row r="353" spans="4:10" ht="14.25" customHeight="1" x14ac:dyDescent="0.3">
      <c r="D353" s="19"/>
      <c r="H353" s="16"/>
      <c r="I353" s="2"/>
      <c r="J353" s="14"/>
    </row>
    <row r="354" spans="4:10" ht="14.25" customHeight="1" x14ac:dyDescent="0.3">
      <c r="D354" s="19"/>
      <c r="H354" s="16"/>
      <c r="I354" s="2"/>
      <c r="J354" s="14"/>
    </row>
    <row r="355" spans="4:10" ht="14.25" customHeight="1" x14ac:dyDescent="0.3">
      <c r="D355" s="19"/>
      <c r="H355" s="16"/>
      <c r="I355" s="2"/>
      <c r="J355" s="14"/>
    </row>
    <row r="356" spans="4:10" ht="14.25" customHeight="1" x14ac:dyDescent="0.3">
      <c r="D356" s="19"/>
      <c r="H356" s="16"/>
      <c r="I356" s="2"/>
      <c r="J356" s="14"/>
    </row>
    <row r="357" spans="4:10" ht="14.25" customHeight="1" x14ac:dyDescent="0.3">
      <c r="D357" s="19"/>
      <c r="H357" s="16"/>
      <c r="I357" s="2"/>
      <c r="J357" s="14"/>
    </row>
    <row r="358" spans="4:10" ht="14.25" customHeight="1" x14ac:dyDescent="0.3">
      <c r="D358" s="19"/>
      <c r="H358" s="16"/>
      <c r="I358" s="2"/>
      <c r="J358" s="14"/>
    </row>
    <row r="359" spans="4:10" ht="14.25" customHeight="1" x14ac:dyDescent="0.3">
      <c r="D359" s="19"/>
      <c r="H359" s="16"/>
      <c r="I359" s="2"/>
      <c r="J359" s="14"/>
    </row>
    <row r="360" spans="4:10" ht="14.25" customHeight="1" x14ac:dyDescent="0.3">
      <c r="D360" s="19"/>
      <c r="H360" s="16"/>
      <c r="I360" s="2"/>
      <c r="J360" s="14"/>
    </row>
    <row r="361" spans="4:10" ht="14.25" customHeight="1" x14ac:dyDescent="0.3">
      <c r="D361" s="19"/>
      <c r="H361" s="16"/>
      <c r="I361" s="2"/>
      <c r="J361" s="14"/>
    </row>
    <row r="362" spans="4:10" ht="14.25" customHeight="1" x14ac:dyDescent="0.3">
      <c r="D362" s="19"/>
      <c r="H362" s="16"/>
      <c r="I362" s="2"/>
      <c r="J362" s="14"/>
    </row>
    <row r="363" spans="4:10" ht="14.25" customHeight="1" x14ac:dyDescent="0.3">
      <c r="D363" s="19"/>
      <c r="H363" s="16"/>
      <c r="I363" s="2"/>
      <c r="J363" s="14"/>
    </row>
    <row r="364" spans="4:10" ht="14.25" customHeight="1" x14ac:dyDescent="0.3">
      <c r="D364" s="19"/>
      <c r="H364" s="16"/>
      <c r="I364" s="2"/>
      <c r="J364" s="14"/>
    </row>
    <row r="365" spans="4:10" ht="14.25" customHeight="1" x14ac:dyDescent="0.3">
      <c r="D365" s="19"/>
      <c r="H365" s="16"/>
      <c r="I365" s="2"/>
      <c r="J365" s="14"/>
    </row>
    <row r="366" spans="4:10" ht="14.25" customHeight="1" x14ac:dyDescent="0.3">
      <c r="D366" s="19"/>
      <c r="H366" s="16"/>
      <c r="I366" s="2"/>
      <c r="J366" s="14"/>
    </row>
    <row r="367" spans="4:10" ht="14.25" customHeight="1" x14ac:dyDescent="0.3">
      <c r="D367" s="19"/>
      <c r="H367" s="16"/>
      <c r="I367" s="2"/>
      <c r="J367" s="14"/>
    </row>
    <row r="368" spans="4:10" ht="14.25" customHeight="1" x14ac:dyDescent="0.3">
      <c r="D368" s="19"/>
      <c r="H368" s="16"/>
      <c r="I368" s="2"/>
      <c r="J368" s="14"/>
    </row>
    <row r="369" spans="4:10" ht="14.25" customHeight="1" x14ac:dyDescent="0.3">
      <c r="D369" s="19"/>
      <c r="H369" s="16"/>
      <c r="I369" s="2"/>
      <c r="J369" s="14"/>
    </row>
    <row r="370" spans="4:10" ht="14.25" customHeight="1" x14ac:dyDescent="0.3">
      <c r="D370" s="19"/>
      <c r="H370" s="16"/>
      <c r="I370" s="2"/>
      <c r="J370" s="14"/>
    </row>
    <row r="371" spans="4:10" ht="14.25" customHeight="1" x14ac:dyDescent="0.3">
      <c r="D371" s="19"/>
      <c r="H371" s="16"/>
      <c r="I371" s="2"/>
      <c r="J371" s="14"/>
    </row>
    <row r="372" spans="4:10" ht="14.25" customHeight="1" x14ac:dyDescent="0.3">
      <c r="D372" s="19"/>
      <c r="H372" s="16"/>
      <c r="I372" s="2"/>
      <c r="J372" s="14"/>
    </row>
    <row r="373" spans="4:10" ht="14.25" customHeight="1" x14ac:dyDescent="0.3">
      <c r="D373" s="19"/>
      <c r="H373" s="16"/>
      <c r="I373" s="2"/>
      <c r="J373" s="14"/>
    </row>
    <row r="374" spans="4:10" ht="14.25" customHeight="1" x14ac:dyDescent="0.3">
      <c r="D374" s="19"/>
      <c r="H374" s="16"/>
      <c r="I374" s="2"/>
      <c r="J374" s="14"/>
    </row>
    <row r="375" spans="4:10" ht="14.25" customHeight="1" x14ac:dyDescent="0.3">
      <c r="D375" s="19"/>
      <c r="H375" s="16"/>
      <c r="I375" s="2"/>
      <c r="J375" s="14"/>
    </row>
    <row r="376" spans="4:10" ht="14.25" customHeight="1" x14ac:dyDescent="0.3">
      <c r="D376" s="19"/>
      <c r="H376" s="16"/>
      <c r="I376" s="2"/>
      <c r="J376" s="14"/>
    </row>
    <row r="377" spans="4:10" ht="14.25" customHeight="1" x14ac:dyDescent="0.3">
      <c r="D377" s="19"/>
      <c r="H377" s="16"/>
      <c r="I377" s="2"/>
      <c r="J377" s="14"/>
    </row>
    <row r="378" spans="4:10" ht="14.25" customHeight="1" x14ac:dyDescent="0.3">
      <c r="D378" s="19"/>
      <c r="H378" s="16"/>
      <c r="I378" s="2"/>
      <c r="J378" s="14"/>
    </row>
    <row r="379" spans="4:10" ht="14.25" customHeight="1" x14ac:dyDescent="0.3">
      <c r="D379" s="19"/>
      <c r="H379" s="16"/>
      <c r="I379" s="2"/>
      <c r="J379" s="14"/>
    </row>
    <row r="380" spans="4:10" ht="14.25" customHeight="1" x14ac:dyDescent="0.3">
      <c r="D380" s="19"/>
      <c r="H380" s="16"/>
      <c r="I380" s="2"/>
      <c r="J380" s="14"/>
    </row>
    <row r="381" spans="4:10" ht="14.25" customHeight="1" x14ac:dyDescent="0.3">
      <c r="D381" s="19"/>
      <c r="H381" s="16"/>
      <c r="I381" s="2"/>
      <c r="J381" s="14"/>
    </row>
    <row r="382" spans="4:10" ht="14.25" customHeight="1" x14ac:dyDescent="0.3">
      <c r="D382" s="19"/>
      <c r="H382" s="16"/>
      <c r="I382" s="2"/>
      <c r="J382" s="14"/>
    </row>
    <row r="383" spans="4:10" ht="14.25" customHeight="1" x14ac:dyDescent="0.3">
      <c r="D383" s="19"/>
      <c r="H383" s="16"/>
      <c r="I383" s="2"/>
      <c r="J383" s="14"/>
    </row>
    <row r="384" spans="4:10" ht="14.25" customHeight="1" x14ac:dyDescent="0.3">
      <c r="D384" s="19"/>
      <c r="H384" s="16"/>
      <c r="I384" s="2"/>
      <c r="J384" s="14"/>
    </row>
    <row r="385" spans="4:10" ht="14.25" customHeight="1" x14ac:dyDescent="0.3">
      <c r="D385" s="19"/>
      <c r="H385" s="16"/>
      <c r="I385" s="2"/>
      <c r="J385" s="14"/>
    </row>
    <row r="386" spans="4:10" ht="14.25" customHeight="1" x14ac:dyDescent="0.3">
      <c r="D386" s="19"/>
      <c r="H386" s="16"/>
      <c r="I386" s="2"/>
      <c r="J386" s="14"/>
    </row>
    <row r="387" spans="4:10" ht="14.25" customHeight="1" x14ac:dyDescent="0.3">
      <c r="D387" s="19"/>
      <c r="H387" s="16"/>
      <c r="I387" s="2"/>
      <c r="J387" s="14"/>
    </row>
    <row r="388" spans="4:10" ht="14.25" customHeight="1" x14ac:dyDescent="0.3">
      <c r="D388" s="19"/>
      <c r="H388" s="16"/>
      <c r="I388" s="2"/>
      <c r="J388" s="14"/>
    </row>
    <row r="389" spans="4:10" ht="14.25" customHeight="1" x14ac:dyDescent="0.3">
      <c r="D389" s="19"/>
      <c r="H389" s="16"/>
      <c r="I389" s="2"/>
      <c r="J389" s="14"/>
    </row>
    <row r="390" spans="4:10" ht="14.25" customHeight="1" x14ac:dyDescent="0.3">
      <c r="D390" s="19"/>
      <c r="H390" s="16"/>
      <c r="I390" s="2"/>
      <c r="J390" s="14"/>
    </row>
    <row r="391" spans="4:10" ht="14.25" customHeight="1" x14ac:dyDescent="0.3">
      <c r="D391" s="19"/>
      <c r="H391" s="16"/>
      <c r="I391" s="2"/>
      <c r="J391" s="14"/>
    </row>
    <row r="392" spans="4:10" ht="14.25" customHeight="1" x14ac:dyDescent="0.3">
      <c r="D392" s="19"/>
      <c r="H392" s="16"/>
      <c r="I392" s="2"/>
      <c r="J392" s="14"/>
    </row>
    <row r="393" spans="4:10" ht="14.25" customHeight="1" x14ac:dyDescent="0.3">
      <c r="D393" s="19"/>
      <c r="H393" s="16"/>
      <c r="I393" s="2"/>
      <c r="J393" s="14"/>
    </row>
    <row r="394" spans="4:10" ht="14.25" customHeight="1" x14ac:dyDescent="0.3">
      <c r="D394" s="19"/>
      <c r="H394" s="16"/>
      <c r="I394" s="2"/>
      <c r="J394" s="14"/>
    </row>
    <row r="395" spans="4:10" ht="14.25" customHeight="1" x14ac:dyDescent="0.3">
      <c r="D395" s="19"/>
      <c r="H395" s="16"/>
      <c r="I395" s="2"/>
      <c r="J395" s="14"/>
    </row>
    <row r="396" spans="4:10" ht="14.25" customHeight="1" x14ac:dyDescent="0.3">
      <c r="D396" s="19"/>
      <c r="H396" s="16"/>
      <c r="I396" s="2"/>
      <c r="J396" s="14"/>
    </row>
    <row r="397" spans="4:10" ht="14.25" customHeight="1" x14ac:dyDescent="0.3">
      <c r="D397" s="19"/>
      <c r="H397" s="16"/>
      <c r="I397" s="2"/>
      <c r="J397" s="14"/>
    </row>
    <row r="398" spans="4:10" ht="14.25" customHeight="1" x14ac:dyDescent="0.3">
      <c r="D398" s="19"/>
      <c r="H398" s="16"/>
      <c r="I398" s="2"/>
      <c r="J398" s="14"/>
    </row>
    <row r="399" spans="4:10" ht="14.25" customHeight="1" x14ac:dyDescent="0.3">
      <c r="D399" s="19"/>
      <c r="H399" s="16"/>
      <c r="I399" s="2"/>
      <c r="J399" s="14"/>
    </row>
    <row r="400" spans="4:10" ht="14.25" customHeight="1" x14ac:dyDescent="0.3">
      <c r="D400" s="19"/>
      <c r="H400" s="16"/>
      <c r="I400" s="2"/>
      <c r="J400" s="14"/>
    </row>
    <row r="401" spans="4:10" ht="14.25" customHeight="1" x14ac:dyDescent="0.3">
      <c r="D401" s="19"/>
      <c r="H401" s="16"/>
      <c r="I401" s="2"/>
      <c r="J401" s="14"/>
    </row>
    <row r="402" spans="4:10" ht="14.25" customHeight="1" x14ac:dyDescent="0.3">
      <c r="D402" s="19"/>
      <c r="H402" s="16"/>
      <c r="I402" s="2"/>
      <c r="J402" s="14"/>
    </row>
    <row r="403" spans="4:10" ht="14.25" customHeight="1" x14ac:dyDescent="0.3">
      <c r="D403" s="19"/>
      <c r="H403" s="16"/>
      <c r="I403" s="2"/>
      <c r="J403" s="14"/>
    </row>
    <row r="404" spans="4:10" ht="14.25" customHeight="1" x14ac:dyDescent="0.3">
      <c r="D404" s="19"/>
      <c r="H404" s="16"/>
      <c r="I404" s="2"/>
      <c r="J404" s="14"/>
    </row>
    <row r="405" spans="4:10" ht="14.25" customHeight="1" x14ac:dyDescent="0.3">
      <c r="D405" s="19"/>
      <c r="H405" s="16"/>
      <c r="I405" s="2"/>
      <c r="J405" s="14"/>
    </row>
    <row r="406" spans="4:10" ht="14.25" customHeight="1" x14ac:dyDescent="0.3">
      <c r="D406" s="19"/>
      <c r="H406" s="16"/>
      <c r="I406" s="2"/>
      <c r="J406" s="14"/>
    </row>
    <row r="407" spans="4:10" ht="14.25" customHeight="1" x14ac:dyDescent="0.3">
      <c r="D407" s="19"/>
      <c r="H407" s="16"/>
      <c r="I407" s="2"/>
      <c r="J407" s="14"/>
    </row>
    <row r="408" spans="4:10" ht="14.25" customHeight="1" x14ac:dyDescent="0.3">
      <c r="D408" s="19"/>
      <c r="H408" s="16"/>
      <c r="I408" s="2"/>
      <c r="J408" s="14"/>
    </row>
    <row r="409" spans="4:10" ht="14.25" customHeight="1" x14ac:dyDescent="0.3">
      <c r="D409" s="19"/>
      <c r="H409" s="16"/>
      <c r="I409" s="2"/>
      <c r="J409" s="14"/>
    </row>
    <row r="410" spans="4:10" ht="14.25" customHeight="1" x14ac:dyDescent="0.3">
      <c r="D410" s="19"/>
      <c r="H410" s="16"/>
      <c r="I410" s="2"/>
      <c r="J410" s="14"/>
    </row>
    <row r="411" spans="4:10" ht="14.25" customHeight="1" x14ac:dyDescent="0.3">
      <c r="D411" s="19"/>
      <c r="H411" s="16"/>
      <c r="I411" s="2"/>
      <c r="J411" s="14"/>
    </row>
    <row r="412" spans="4:10" ht="14.25" customHeight="1" x14ac:dyDescent="0.3">
      <c r="D412" s="19"/>
      <c r="H412" s="16"/>
      <c r="I412" s="2"/>
      <c r="J412" s="14"/>
    </row>
    <row r="413" spans="4:10" ht="14.25" customHeight="1" x14ac:dyDescent="0.3">
      <c r="D413" s="19"/>
      <c r="H413" s="16"/>
      <c r="I413" s="2"/>
      <c r="J413" s="14"/>
    </row>
    <row r="414" spans="4:10" ht="14.25" customHeight="1" x14ac:dyDescent="0.3">
      <c r="D414" s="19"/>
      <c r="H414" s="16"/>
      <c r="I414" s="2"/>
      <c r="J414" s="14"/>
    </row>
    <row r="415" spans="4:10" ht="14.25" customHeight="1" x14ac:dyDescent="0.3">
      <c r="D415" s="19"/>
      <c r="H415" s="16"/>
      <c r="I415" s="2"/>
      <c r="J415" s="14"/>
    </row>
    <row r="416" spans="4:10" ht="14.25" customHeight="1" x14ac:dyDescent="0.3">
      <c r="D416" s="19"/>
      <c r="H416" s="16"/>
      <c r="I416" s="2"/>
      <c r="J416" s="14"/>
    </row>
    <row r="417" spans="4:10" ht="14.25" customHeight="1" x14ac:dyDescent="0.3">
      <c r="D417" s="19"/>
      <c r="H417" s="16"/>
      <c r="I417" s="2"/>
      <c r="J417" s="14"/>
    </row>
    <row r="418" spans="4:10" ht="14.25" customHeight="1" x14ac:dyDescent="0.3">
      <c r="D418" s="19"/>
      <c r="H418" s="16"/>
      <c r="I418" s="2"/>
      <c r="J418" s="14"/>
    </row>
    <row r="419" spans="4:10" ht="14.25" customHeight="1" x14ac:dyDescent="0.3">
      <c r="D419" s="19"/>
      <c r="H419" s="16"/>
      <c r="I419" s="2"/>
      <c r="J419" s="14"/>
    </row>
    <row r="420" spans="4:10" ht="14.25" customHeight="1" x14ac:dyDescent="0.3">
      <c r="D420" s="19"/>
      <c r="H420" s="16"/>
      <c r="I420" s="2"/>
      <c r="J420" s="14"/>
    </row>
    <row r="421" spans="4:10" ht="14.25" customHeight="1" x14ac:dyDescent="0.3">
      <c r="D421" s="19"/>
      <c r="H421" s="16"/>
      <c r="I421" s="2"/>
      <c r="J421" s="14"/>
    </row>
    <row r="422" spans="4:10" ht="14.25" customHeight="1" x14ac:dyDescent="0.3">
      <c r="D422" s="19"/>
      <c r="H422" s="16"/>
      <c r="I422" s="2"/>
      <c r="J422" s="14"/>
    </row>
    <row r="423" spans="4:10" ht="14.25" customHeight="1" x14ac:dyDescent="0.3">
      <c r="D423" s="19"/>
      <c r="H423" s="16"/>
      <c r="I423" s="2"/>
      <c r="J423" s="14"/>
    </row>
    <row r="424" spans="4:10" ht="14.25" customHeight="1" x14ac:dyDescent="0.3">
      <c r="D424" s="19"/>
      <c r="H424" s="16"/>
      <c r="I424" s="2"/>
      <c r="J424" s="14"/>
    </row>
    <row r="425" spans="4:10" ht="14.25" customHeight="1" x14ac:dyDescent="0.3">
      <c r="D425" s="19"/>
      <c r="H425" s="16"/>
      <c r="I425" s="2"/>
      <c r="J425" s="14"/>
    </row>
    <row r="426" spans="4:10" ht="14.25" customHeight="1" x14ac:dyDescent="0.3">
      <c r="D426" s="19"/>
      <c r="H426" s="16"/>
      <c r="I426" s="2"/>
      <c r="J426" s="14"/>
    </row>
    <row r="427" spans="4:10" ht="14.25" customHeight="1" x14ac:dyDescent="0.3">
      <c r="D427" s="19"/>
      <c r="H427" s="16"/>
      <c r="I427" s="2"/>
      <c r="J427" s="14"/>
    </row>
    <row r="428" spans="4:10" ht="14.25" customHeight="1" x14ac:dyDescent="0.3">
      <c r="D428" s="19"/>
      <c r="H428" s="16"/>
      <c r="I428" s="2"/>
      <c r="J428" s="14"/>
    </row>
    <row r="429" spans="4:10" ht="14.25" customHeight="1" x14ac:dyDescent="0.3">
      <c r="D429" s="19"/>
      <c r="H429" s="16"/>
      <c r="I429" s="2"/>
      <c r="J429" s="14"/>
    </row>
    <row r="430" spans="4:10" ht="14.25" customHeight="1" x14ac:dyDescent="0.3">
      <c r="D430" s="19"/>
      <c r="H430" s="16"/>
      <c r="I430" s="2"/>
      <c r="J430" s="14"/>
    </row>
    <row r="431" spans="4:10" ht="14.25" customHeight="1" x14ac:dyDescent="0.3">
      <c r="D431" s="19"/>
      <c r="H431" s="16"/>
      <c r="I431" s="2"/>
      <c r="J431" s="14"/>
    </row>
    <row r="432" spans="4:10" ht="14.25" customHeight="1" x14ac:dyDescent="0.3">
      <c r="D432" s="19"/>
      <c r="H432" s="16"/>
      <c r="I432" s="2"/>
      <c r="J432" s="14"/>
    </row>
    <row r="433" spans="4:10" ht="14.25" customHeight="1" x14ac:dyDescent="0.3">
      <c r="D433" s="19"/>
      <c r="H433" s="16"/>
      <c r="I433" s="2"/>
      <c r="J433" s="14"/>
    </row>
    <row r="434" spans="4:10" ht="14.25" customHeight="1" x14ac:dyDescent="0.3">
      <c r="D434" s="19"/>
      <c r="H434" s="16"/>
      <c r="I434" s="2"/>
      <c r="J434" s="14"/>
    </row>
    <row r="435" spans="4:10" ht="14.25" customHeight="1" x14ac:dyDescent="0.3">
      <c r="D435" s="19"/>
      <c r="H435" s="16"/>
      <c r="I435" s="2"/>
      <c r="J435" s="14"/>
    </row>
    <row r="436" spans="4:10" ht="14.25" customHeight="1" x14ac:dyDescent="0.3">
      <c r="D436" s="19"/>
      <c r="H436" s="16"/>
      <c r="I436" s="2"/>
      <c r="J436" s="14"/>
    </row>
    <row r="437" spans="4:10" ht="14.25" customHeight="1" x14ac:dyDescent="0.3">
      <c r="D437" s="19"/>
      <c r="H437" s="16"/>
      <c r="I437" s="2"/>
      <c r="J437" s="14"/>
    </row>
    <row r="438" spans="4:10" ht="14.25" customHeight="1" x14ac:dyDescent="0.3">
      <c r="D438" s="19"/>
      <c r="H438" s="16"/>
      <c r="I438" s="2"/>
      <c r="J438" s="14"/>
    </row>
    <row r="439" spans="4:10" ht="14.25" customHeight="1" x14ac:dyDescent="0.3">
      <c r="D439" s="19"/>
      <c r="H439" s="16"/>
      <c r="I439" s="2"/>
      <c r="J439" s="14"/>
    </row>
    <row r="440" spans="4:10" ht="14.25" customHeight="1" x14ac:dyDescent="0.3">
      <c r="D440" s="19"/>
      <c r="H440" s="16"/>
      <c r="I440" s="2"/>
      <c r="J440" s="14"/>
    </row>
    <row r="441" spans="4:10" ht="14.25" customHeight="1" x14ac:dyDescent="0.3">
      <c r="D441" s="19"/>
      <c r="H441" s="16"/>
      <c r="I441" s="2"/>
      <c r="J441" s="14"/>
    </row>
    <row r="442" spans="4:10" ht="14.25" customHeight="1" x14ac:dyDescent="0.3">
      <c r="D442" s="19"/>
      <c r="H442" s="16"/>
      <c r="I442" s="2"/>
      <c r="J442" s="14"/>
    </row>
    <row r="443" spans="4:10" ht="14.25" customHeight="1" x14ac:dyDescent="0.3">
      <c r="D443" s="19"/>
      <c r="H443" s="16"/>
      <c r="I443" s="2"/>
      <c r="J443" s="14"/>
    </row>
    <row r="444" spans="4:10" ht="14.25" customHeight="1" x14ac:dyDescent="0.3">
      <c r="D444" s="19"/>
      <c r="H444" s="16"/>
      <c r="I444" s="2"/>
      <c r="J444" s="14"/>
    </row>
    <row r="445" spans="4:10" ht="14.25" customHeight="1" x14ac:dyDescent="0.3">
      <c r="D445" s="19"/>
      <c r="H445" s="16"/>
      <c r="I445" s="2"/>
      <c r="J445" s="14"/>
    </row>
    <row r="446" spans="4:10" ht="14.25" customHeight="1" x14ac:dyDescent="0.3">
      <c r="D446" s="19"/>
      <c r="H446" s="16"/>
      <c r="I446" s="2"/>
      <c r="J446" s="14"/>
    </row>
    <row r="447" spans="4:10" ht="14.25" customHeight="1" x14ac:dyDescent="0.3">
      <c r="D447" s="19"/>
      <c r="H447" s="16"/>
      <c r="I447" s="2"/>
      <c r="J447" s="14"/>
    </row>
    <row r="448" spans="4:10" ht="14.25" customHeight="1" x14ac:dyDescent="0.3">
      <c r="D448" s="19"/>
      <c r="H448" s="16"/>
      <c r="I448" s="2"/>
      <c r="J448" s="14"/>
    </row>
    <row r="449" spans="4:10" ht="14.25" customHeight="1" x14ac:dyDescent="0.3">
      <c r="D449" s="19"/>
      <c r="H449" s="16"/>
      <c r="I449" s="2"/>
      <c r="J449" s="14"/>
    </row>
    <row r="450" spans="4:10" ht="14.25" customHeight="1" x14ac:dyDescent="0.3">
      <c r="D450" s="19"/>
      <c r="H450" s="16"/>
      <c r="I450" s="2"/>
      <c r="J450" s="14"/>
    </row>
    <row r="451" spans="4:10" ht="14.25" customHeight="1" x14ac:dyDescent="0.3">
      <c r="D451" s="19"/>
      <c r="H451" s="16"/>
      <c r="I451" s="2"/>
      <c r="J451" s="14"/>
    </row>
    <row r="452" spans="4:10" ht="14.25" customHeight="1" x14ac:dyDescent="0.3">
      <c r="D452" s="19"/>
      <c r="H452" s="16"/>
      <c r="I452" s="2"/>
      <c r="J452" s="14"/>
    </row>
    <row r="453" spans="4:10" ht="14.25" customHeight="1" x14ac:dyDescent="0.3">
      <c r="D453" s="19"/>
      <c r="H453" s="16"/>
      <c r="I453" s="2"/>
      <c r="J453" s="14"/>
    </row>
    <row r="454" spans="4:10" ht="14.25" customHeight="1" x14ac:dyDescent="0.3">
      <c r="D454" s="19"/>
      <c r="H454" s="16"/>
      <c r="I454" s="2"/>
      <c r="J454" s="14"/>
    </row>
    <row r="455" spans="4:10" ht="14.25" customHeight="1" x14ac:dyDescent="0.3">
      <c r="D455" s="19"/>
      <c r="H455" s="16"/>
      <c r="I455" s="2"/>
      <c r="J455" s="14"/>
    </row>
    <row r="456" spans="4:10" ht="14.25" customHeight="1" x14ac:dyDescent="0.3">
      <c r="D456" s="19"/>
      <c r="H456" s="16"/>
      <c r="I456" s="2"/>
      <c r="J456" s="14"/>
    </row>
    <row r="457" spans="4:10" ht="14.25" customHeight="1" x14ac:dyDescent="0.3">
      <c r="D457" s="19"/>
      <c r="H457" s="16"/>
      <c r="I457" s="2"/>
      <c r="J457" s="14"/>
    </row>
    <row r="458" spans="4:10" ht="14.25" customHeight="1" x14ac:dyDescent="0.3">
      <c r="D458" s="19"/>
      <c r="H458" s="16"/>
      <c r="I458" s="2"/>
      <c r="J458" s="14"/>
    </row>
    <row r="459" spans="4:10" ht="14.25" customHeight="1" x14ac:dyDescent="0.3">
      <c r="D459" s="19"/>
      <c r="H459" s="16"/>
      <c r="I459" s="2"/>
      <c r="J459" s="14"/>
    </row>
    <row r="460" spans="4:10" ht="14.25" customHeight="1" x14ac:dyDescent="0.3">
      <c r="D460" s="19"/>
      <c r="H460" s="16"/>
      <c r="I460" s="2"/>
      <c r="J460" s="14"/>
    </row>
    <row r="461" spans="4:10" ht="14.25" customHeight="1" x14ac:dyDescent="0.3">
      <c r="D461" s="19"/>
      <c r="H461" s="16"/>
      <c r="I461" s="2"/>
      <c r="J461" s="14"/>
    </row>
    <row r="462" spans="4:10" ht="14.25" customHeight="1" x14ac:dyDescent="0.3">
      <c r="D462" s="19"/>
      <c r="H462" s="16"/>
      <c r="I462" s="2"/>
      <c r="J462" s="14"/>
    </row>
    <row r="463" spans="4:10" ht="14.25" customHeight="1" x14ac:dyDescent="0.3">
      <c r="D463" s="19"/>
      <c r="H463" s="16"/>
      <c r="I463" s="2"/>
      <c r="J463" s="14"/>
    </row>
    <row r="464" spans="4:10" ht="14.25" customHeight="1" x14ac:dyDescent="0.3">
      <c r="D464" s="19"/>
      <c r="H464" s="16"/>
      <c r="I464" s="2"/>
      <c r="J464" s="14"/>
    </row>
    <row r="465" spans="4:10" ht="14.25" customHeight="1" x14ac:dyDescent="0.3">
      <c r="D465" s="19"/>
      <c r="H465" s="16"/>
      <c r="I465" s="2"/>
      <c r="J465" s="14"/>
    </row>
    <row r="466" spans="4:10" ht="14.25" customHeight="1" x14ac:dyDescent="0.3">
      <c r="D466" s="19"/>
      <c r="H466" s="16"/>
      <c r="I466" s="2"/>
      <c r="J466" s="14"/>
    </row>
    <row r="467" spans="4:10" ht="14.25" customHeight="1" x14ac:dyDescent="0.3">
      <c r="D467" s="19"/>
      <c r="H467" s="16"/>
      <c r="I467" s="2"/>
      <c r="J467" s="14"/>
    </row>
    <row r="468" spans="4:10" ht="14.25" customHeight="1" x14ac:dyDescent="0.3">
      <c r="D468" s="19"/>
      <c r="H468" s="16"/>
      <c r="I468" s="2"/>
      <c r="J468" s="14"/>
    </row>
    <row r="469" spans="4:10" ht="14.25" customHeight="1" x14ac:dyDescent="0.3">
      <c r="D469" s="19"/>
      <c r="H469" s="16"/>
      <c r="I469" s="2"/>
      <c r="J469" s="14"/>
    </row>
    <row r="470" spans="4:10" ht="14.25" customHeight="1" x14ac:dyDescent="0.3">
      <c r="D470" s="19"/>
      <c r="H470" s="16"/>
      <c r="I470" s="2"/>
      <c r="J470" s="14"/>
    </row>
    <row r="471" spans="4:10" ht="14.25" customHeight="1" x14ac:dyDescent="0.3">
      <c r="D471" s="19"/>
      <c r="H471" s="16"/>
      <c r="I471" s="2"/>
      <c r="J471" s="14"/>
    </row>
    <row r="472" spans="4:10" ht="14.25" customHeight="1" x14ac:dyDescent="0.3">
      <c r="D472" s="19"/>
      <c r="H472" s="16"/>
      <c r="I472" s="2"/>
      <c r="J472" s="14"/>
    </row>
    <row r="473" spans="4:10" ht="14.25" customHeight="1" x14ac:dyDescent="0.3">
      <c r="D473" s="19"/>
      <c r="H473" s="16"/>
      <c r="I473" s="2"/>
      <c r="J473" s="14"/>
    </row>
    <row r="474" spans="4:10" ht="14.25" customHeight="1" x14ac:dyDescent="0.3">
      <c r="D474" s="19"/>
      <c r="H474" s="16"/>
      <c r="I474" s="2"/>
      <c r="J474" s="14"/>
    </row>
    <row r="475" spans="4:10" ht="14.25" customHeight="1" x14ac:dyDescent="0.3">
      <c r="D475" s="19"/>
      <c r="H475" s="16"/>
      <c r="I475" s="2"/>
      <c r="J475" s="14"/>
    </row>
    <row r="476" spans="4:10" ht="14.25" customHeight="1" x14ac:dyDescent="0.3">
      <c r="D476" s="19"/>
      <c r="H476" s="16"/>
      <c r="I476" s="2"/>
      <c r="J476" s="14"/>
    </row>
    <row r="477" spans="4:10" ht="14.25" customHeight="1" x14ac:dyDescent="0.3">
      <c r="D477" s="19"/>
      <c r="H477" s="16"/>
      <c r="I477" s="2"/>
      <c r="J477" s="14"/>
    </row>
    <row r="478" spans="4:10" ht="14.25" customHeight="1" x14ac:dyDescent="0.3">
      <c r="D478" s="19"/>
      <c r="H478" s="16"/>
      <c r="I478" s="2"/>
      <c r="J478" s="14"/>
    </row>
    <row r="479" spans="4:10" ht="14.25" customHeight="1" x14ac:dyDescent="0.3">
      <c r="D479" s="19"/>
      <c r="H479" s="16"/>
      <c r="I479" s="2"/>
      <c r="J479" s="14"/>
    </row>
    <row r="480" spans="4:10" ht="14.25" customHeight="1" x14ac:dyDescent="0.3">
      <c r="D480" s="19"/>
      <c r="H480" s="16"/>
      <c r="I480" s="2"/>
      <c r="J480" s="14"/>
    </row>
    <row r="481" spans="4:10" ht="14.25" customHeight="1" x14ac:dyDescent="0.3">
      <c r="D481" s="19"/>
      <c r="H481" s="16"/>
      <c r="I481" s="2"/>
      <c r="J481" s="14"/>
    </row>
    <row r="482" spans="4:10" ht="14.25" customHeight="1" x14ac:dyDescent="0.3">
      <c r="D482" s="19"/>
      <c r="H482" s="16"/>
      <c r="I482" s="2"/>
      <c r="J482" s="14"/>
    </row>
    <row r="483" spans="4:10" ht="14.25" customHeight="1" x14ac:dyDescent="0.3">
      <c r="D483" s="19"/>
      <c r="H483" s="16"/>
      <c r="I483" s="2"/>
      <c r="J483" s="14"/>
    </row>
    <row r="484" spans="4:10" ht="14.25" customHeight="1" x14ac:dyDescent="0.3">
      <c r="D484" s="19"/>
      <c r="H484" s="16"/>
      <c r="I484" s="2"/>
      <c r="J484" s="14"/>
    </row>
    <row r="485" spans="4:10" ht="14.25" customHeight="1" x14ac:dyDescent="0.3">
      <c r="D485" s="19"/>
      <c r="H485" s="16"/>
      <c r="I485" s="2"/>
      <c r="J485" s="14"/>
    </row>
    <row r="486" spans="4:10" ht="14.25" customHeight="1" x14ac:dyDescent="0.3">
      <c r="D486" s="19"/>
      <c r="H486" s="16"/>
      <c r="I486" s="2"/>
      <c r="J486" s="14"/>
    </row>
    <row r="487" spans="4:10" ht="14.25" customHeight="1" x14ac:dyDescent="0.3">
      <c r="D487" s="19"/>
      <c r="H487" s="16"/>
      <c r="I487" s="2"/>
      <c r="J487" s="14"/>
    </row>
    <row r="488" spans="4:10" ht="14.25" customHeight="1" x14ac:dyDescent="0.3">
      <c r="D488" s="19"/>
      <c r="H488" s="16"/>
      <c r="I488" s="2"/>
      <c r="J488" s="14"/>
    </row>
    <row r="489" spans="4:10" ht="14.25" customHeight="1" x14ac:dyDescent="0.3">
      <c r="D489" s="19"/>
      <c r="H489" s="16"/>
      <c r="I489" s="2"/>
      <c r="J489" s="14"/>
    </row>
    <row r="490" spans="4:10" ht="14.25" customHeight="1" x14ac:dyDescent="0.3">
      <c r="D490" s="19"/>
      <c r="H490" s="16"/>
      <c r="I490" s="2"/>
      <c r="J490" s="14"/>
    </row>
    <row r="491" spans="4:10" ht="14.25" customHeight="1" x14ac:dyDescent="0.3">
      <c r="D491" s="19"/>
      <c r="H491" s="16"/>
      <c r="I491" s="2"/>
      <c r="J491" s="14"/>
    </row>
    <row r="492" spans="4:10" ht="14.25" customHeight="1" x14ac:dyDescent="0.3">
      <c r="D492" s="19"/>
      <c r="H492" s="16"/>
      <c r="I492" s="2"/>
      <c r="J492" s="14"/>
    </row>
    <row r="493" spans="4:10" ht="14.25" customHeight="1" x14ac:dyDescent="0.3">
      <c r="D493" s="19"/>
      <c r="H493" s="16"/>
      <c r="I493" s="2"/>
      <c r="J493" s="14"/>
    </row>
    <row r="494" spans="4:10" ht="14.25" customHeight="1" x14ac:dyDescent="0.3">
      <c r="D494" s="19"/>
      <c r="H494" s="16"/>
      <c r="I494" s="2"/>
      <c r="J494" s="14"/>
    </row>
    <row r="495" spans="4:10" ht="14.25" customHeight="1" x14ac:dyDescent="0.3">
      <c r="D495" s="19"/>
      <c r="H495" s="16"/>
      <c r="I495" s="2"/>
      <c r="J495" s="14"/>
    </row>
    <row r="496" spans="4:10" ht="14.25" customHeight="1" x14ac:dyDescent="0.3">
      <c r="D496" s="19"/>
      <c r="H496" s="16"/>
      <c r="I496" s="2"/>
      <c r="J496" s="14"/>
    </row>
    <row r="497" spans="4:10" ht="14.25" customHeight="1" x14ac:dyDescent="0.3">
      <c r="D497" s="19"/>
      <c r="H497" s="16"/>
      <c r="I497" s="2"/>
      <c r="J497" s="14"/>
    </row>
    <row r="498" spans="4:10" ht="14.25" customHeight="1" x14ac:dyDescent="0.3">
      <c r="D498" s="19"/>
      <c r="H498" s="16"/>
      <c r="I498" s="2"/>
      <c r="J498" s="14"/>
    </row>
    <row r="499" spans="4:10" ht="14.25" customHeight="1" x14ac:dyDescent="0.3">
      <c r="D499" s="19"/>
      <c r="H499" s="16"/>
      <c r="I499" s="2"/>
      <c r="J499" s="14"/>
    </row>
    <row r="500" spans="4:10" ht="14.25" customHeight="1" x14ac:dyDescent="0.3">
      <c r="D500" s="19"/>
      <c r="H500" s="16"/>
      <c r="I500" s="2"/>
      <c r="J500" s="14"/>
    </row>
    <row r="501" spans="4:10" ht="14.25" customHeight="1" x14ac:dyDescent="0.3">
      <c r="D501" s="19"/>
      <c r="H501" s="16"/>
      <c r="I501" s="2"/>
      <c r="J501" s="14"/>
    </row>
    <row r="502" spans="4:10" ht="14.25" customHeight="1" x14ac:dyDescent="0.3">
      <c r="D502" s="19"/>
      <c r="H502" s="16"/>
      <c r="I502" s="2"/>
      <c r="J502" s="14"/>
    </row>
    <row r="503" spans="4:10" ht="14.25" customHeight="1" x14ac:dyDescent="0.3">
      <c r="D503" s="19"/>
      <c r="H503" s="16"/>
      <c r="I503" s="2"/>
      <c r="J503" s="14"/>
    </row>
    <row r="504" spans="4:10" ht="14.25" customHeight="1" x14ac:dyDescent="0.3">
      <c r="D504" s="19"/>
      <c r="H504" s="16"/>
      <c r="I504" s="2"/>
      <c r="J504" s="14"/>
    </row>
    <row r="505" spans="4:10" ht="14.25" customHeight="1" x14ac:dyDescent="0.3">
      <c r="D505" s="19"/>
      <c r="H505" s="16"/>
      <c r="I505" s="2"/>
      <c r="J505" s="14"/>
    </row>
    <row r="506" spans="4:10" ht="14.25" customHeight="1" x14ac:dyDescent="0.3">
      <c r="D506" s="19"/>
      <c r="H506" s="16"/>
      <c r="I506" s="2"/>
      <c r="J506" s="14"/>
    </row>
    <row r="507" spans="4:10" ht="14.25" customHeight="1" x14ac:dyDescent="0.3">
      <c r="D507" s="19"/>
      <c r="H507" s="16"/>
      <c r="I507" s="2"/>
      <c r="J507" s="14"/>
    </row>
    <row r="508" spans="4:10" ht="14.25" customHeight="1" x14ac:dyDescent="0.3">
      <c r="D508" s="19"/>
      <c r="H508" s="16"/>
      <c r="I508" s="2"/>
      <c r="J508" s="14"/>
    </row>
    <row r="509" spans="4:10" ht="14.25" customHeight="1" x14ac:dyDescent="0.3">
      <c r="D509" s="19"/>
      <c r="H509" s="16"/>
      <c r="I509" s="2"/>
      <c r="J509" s="14"/>
    </row>
    <row r="510" spans="4:10" ht="14.25" customHeight="1" x14ac:dyDescent="0.3">
      <c r="D510" s="19"/>
      <c r="H510" s="16"/>
      <c r="I510" s="2"/>
      <c r="J510" s="14"/>
    </row>
    <row r="511" spans="4:10" ht="14.25" customHeight="1" x14ac:dyDescent="0.3">
      <c r="D511" s="19"/>
      <c r="H511" s="16"/>
      <c r="I511" s="2"/>
      <c r="J511" s="14"/>
    </row>
    <row r="512" spans="4:10" ht="14.25" customHeight="1" x14ac:dyDescent="0.3">
      <c r="D512" s="19"/>
      <c r="H512" s="16"/>
      <c r="I512" s="2"/>
      <c r="J512" s="14"/>
    </row>
    <row r="513" spans="4:10" ht="14.25" customHeight="1" x14ac:dyDescent="0.3">
      <c r="D513" s="19"/>
      <c r="H513" s="16"/>
      <c r="I513" s="2"/>
      <c r="J513" s="14"/>
    </row>
    <row r="514" spans="4:10" ht="14.25" customHeight="1" x14ac:dyDescent="0.3">
      <c r="D514" s="19"/>
      <c r="H514" s="16"/>
      <c r="I514" s="2"/>
      <c r="J514" s="14"/>
    </row>
    <row r="515" spans="4:10" ht="14.25" customHeight="1" x14ac:dyDescent="0.3">
      <c r="D515" s="19"/>
      <c r="H515" s="16"/>
      <c r="I515" s="2"/>
      <c r="J515" s="14"/>
    </row>
    <row r="516" spans="4:10" ht="14.25" customHeight="1" x14ac:dyDescent="0.3">
      <c r="D516" s="19"/>
      <c r="H516" s="16"/>
      <c r="I516" s="2"/>
      <c r="J516" s="14"/>
    </row>
    <row r="517" spans="4:10" ht="14.25" customHeight="1" x14ac:dyDescent="0.3">
      <c r="D517" s="19"/>
      <c r="H517" s="16"/>
      <c r="I517" s="2"/>
      <c r="J517" s="14"/>
    </row>
    <row r="518" spans="4:10" ht="14.25" customHeight="1" x14ac:dyDescent="0.3">
      <c r="D518" s="19"/>
      <c r="H518" s="16"/>
      <c r="I518" s="2"/>
      <c r="J518" s="14"/>
    </row>
    <row r="519" spans="4:10" ht="14.25" customHeight="1" x14ac:dyDescent="0.3">
      <c r="D519" s="19"/>
      <c r="H519" s="16"/>
      <c r="I519" s="2"/>
      <c r="J519" s="14"/>
    </row>
    <row r="520" spans="4:10" ht="14.25" customHeight="1" x14ac:dyDescent="0.3">
      <c r="D520" s="19"/>
      <c r="H520" s="16"/>
      <c r="I520" s="2"/>
      <c r="J520" s="14"/>
    </row>
    <row r="521" spans="4:10" ht="14.25" customHeight="1" x14ac:dyDescent="0.3">
      <c r="D521" s="19"/>
      <c r="H521" s="16"/>
      <c r="I521" s="2"/>
      <c r="J521" s="14"/>
    </row>
    <row r="522" spans="4:10" ht="14.25" customHeight="1" x14ac:dyDescent="0.3">
      <c r="D522" s="19"/>
      <c r="H522" s="16"/>
      <c r="I522" s="2"/>
      <c r="J522" s="14"/>
    </row>
    <row r="523" spans="4:10" ht="14.25" customHeight="1" x14ac:dyDescent="0.3">
      <c r="D523" s="19"/>
      <c r="H523" s="16"/>
      <c r="I523" s="2"/>
      <c r="J523" s="14"/>
    </row>
    <row r="524" spans="4:10" ht="14.25" customHeight="1" x14ac:dyDescent="0.3">
      <c r="D524" s="19"/>
      <c r="H524" s="16"/>
      <c r="I524" s="2"/>
      <c r="J524" s="14"/>
    </row>
    <row r="525" spans="4:10" ht="14.25" customHeight="1" x14ac:dyDescent="0.3">
      <c r="D525" s="19"/>
      <c r="H525" s="16"/>
      <c r="I525" s="2"/>
      <c r="J525" s="14"/>
    </row>
    <row r="526" spans="4:10" ht="14.25" customHeight="1" x14ac:dyDescent="0.3">
      <c r="D526" s="19"/>
      <c r="H526" s="16"/>
      <c r="I526" s="2"/>
      <c r="J526" s="14"/>
    </row>
    <row r="527" spans="4:10" ht="14.25" customHeight="1" x14ac:dyDescent="0.3">
      <c r="D527" s="19"/>
      <c r="H527" s="16"/>
      <c r="I527" s="2"/>
      <c r="J527" s="14"/>
    </row>
    <row r="528" spans="4:10" ht="14.25" customHeight="1" x14ac:dyDescent="0.3">
      <c r="D528" s="19"/>
      <c r="H528" s="16"/>
      <c r="I528" s="2"/>
      <c r="J528" s="14"/>
    </row>
    <row r="529" spans="4:10" ht="14.25" customHeight="1" x14ac:dyDescent="0.3">
      <c r="D529" s="19"/>
      <c r="H529" s="16"/>
      <c r="I529" s="2"/>
      <c r="J529" s="14"/>
    </row>
    <row r="530" spans="4:10" ht="14.25" customHeight="1" x14ac:dyDescent="0.3">
      <c r="D530" s="19"/>
      <c r="H530" s="16"/>
      <c r="I530" s="2"/>
      <c r="J530" s="14"/>
    </row>
    <row r="531" spans="4:10" ht="14.25" customHeight="1" x14ac:dyDescent="0.3">
      <c r="D531" s="19"/>
      <c r="H531" s="16"/>
      <c r="I531" s="2"/>
      <c r="J531" s="14"/>
    </row>
    <row r="532" spans="4:10" ht="14.25" customHeight="1" x14ac:dyDescent="0.3">
      <c r="D532" s="19"/>
      <c r="H532" s="16"/>
      <c r="I532" s="2"/>
      <c r="J532" s="14"/>
    </row>
    <row r="533" spans="4:10" ht="14.25" customHeight="1" x14ac:dyDescent="0.3">
      <c r="D533" s="19"/>
      <c r="H533" s="16"/>
      <c r="I533" s="2"/>
      <c r="J533" s="14"/>
    </row>
    <row r="534" spans="4:10" ht="14.25" customHeight="1" x14ac:dyDescent="0.3">
      <c r="D534" s="19"/>
      <c r="H534" s="16"/>
      <c r="I534" s="2"/>
      <c r="J534" s="14"/>
    </row>
    <row r="535" spans="4:10" ht="14.25" customHeight="1" x14ac:dyDescent="0.3">
      <c r="D535" s="19"/>
      <c r="H535" s="16"/>
      <c r="I535" s="2"/>
      <c r="J535" s="14"/>
    </row>
    <row r="536" spans="4:10" ht="14.25" customHeight="1" x14ac:dyDescent="0.3">
      <c r="D536" s="19"/>
      <c r="H536" s="16"/>
      <c r="I536" s="2"/>
      <c r="J536" s="14"/>
    </row>
    <row r="537" spans="4:10" ht="14.25" customHeight="1" x14ac:dyDescent="0.3">
      <c r="D537" s="19"/>
      <c r="H537" s="16"/>
      <c r="I537" s="2"/>
      <c r="J537" s="14"/>
    </row>
    <row r="538" spans="4:10" ht="14.25" customHeight="1" x14ac:dyDescent="0.3">
      <c r="D538" s="19"/>
      <c r="H538" s="16"/>
      <c r="I538" s="2"/>
      <c r="J538" s="14"/>
    </row>
    <row r="539" spans="4:10" ht="14.25" customHeight="1" x14ac:dyDescent="0.3">
      <c r="D539" s="19"/>
      <c r="H539" s="16"/>
      <c r="I539" s="2"/>
      <c r="J539" s="14"/>
    </row>
    <row r="540" spans="4:10" ht="14.25" customHeight="1" x14ac:dyDescent="0.3">
      <c r="D540" s="19"/>
      <c r="H540" s="16"/>
      <c r="I540" s="2"/>
      <c r="J540" s="14"/>
    </row>
    <row r="541" spans="4:10" ht="14.25" customHeight="1" x14ac:dyDescent="0.3">
      <c r="D541" s="19"/>
      <c r="H541" s="16"/>
      <c r="I541" s="2"/>
      <c r="J541" s="14"/>
    </row>
    <row r="542" spans="4:10" ht="14.25" customHeight="1" x14ac:dyDescent="0.3">
      <c r="D542" s="19"/>
      <c r="H542" s="16"/>
      <c r="I542" s="2"/>
      <c r="J542" s="14"/>
    </row>
    <row r="543" spans="4:10" ht="14.25" customHeight="1" x14ac:dyDescent="0.3">
      <c r="D543" s="19"/>
      <c r="H543" s="16"/>
      <c r="I543" s="2"/>
      <c r="J543" s="14"/>
    </row>
    <row r="544" spans="4:10" ht="14.25" customHeight="1" x14ac:dyDescent="0.3">
      <c r="D544" s="19"/>
      <c r="H544" s="16"/>
      <c r="I544" s="2"/>
      <c r="J544" s="14"/>
    </row>
    <row r="545" spans="4:10" ht="14.25" customHeight="1" x14ac:dyDescent="0.3">
      <c r="D545" s="19"/>
      <c r="H545" s="16"/>
      <c r="I545" s="2"/>
      <c r="J545" s="14"/>
    </row>
    <row r="546" spans="4:10" ht="14.25" customHeight="1" x14ac:dyDescent="0.3">
      <c r="D546" s="19"/>
      <c r="H546" s="16"/>
      <c r="I546" s="2"/>
      <c r="J546" s="14"/>
    </row>
    <row r="547" spans="4:10" ht="14.25" customHeight="1" x14ac:dyDescent="0.3">
      <c r="D547" s="19"/>
      <c r="H547" s="16"/>
      <c r="I547" s="2"/>
      <c r="J547" s="14"/>
    </row>
    <row r="548" spans="4:10" ht="14.25" customHeight="1" x14ac:dyDescent="0.3">
      <c r="D548" s="19"/>
      <c r="H548" s="16"/>
      <c r="I548" s="2"/>
      <c r="J548" s="14"/>
    </row>
    <row r="549" spans="4:10" ht="14.25" customHeight="1" x14ac:dyDescent="0.3">
      <c r="D549" s="19"/>
      <c r="H549" s="16"/>
      <c r="I549" s="2"/>
      <c r="J549" s="14"/>
    </row>
    <row r="550" spans="4:10" ht="14.25" customHeight="1" x14ac:dyDescent="0.3">
      <c r="D550" s="19"/>
      <c r="H550" s="16"/>
      <c r="I550" s="2"/>
      <c r="J550" s="14"/>
    </row>
    <row r="551" spans="4:10" ht="14.25" customHeight="1" x14ac:dyDescent="0.3">
      <c r="D551" s="19"/>
      <c r="H551" s="16"/>
      <c r="I551" s="2"/>
      <c r="J551" s="14"/>
    </row>
    <row r="552" spans="4:10" ht="14.25" customHeight="1" x14ac:dyDescent="0.3">
      <c r="D552" s="19"/>
      <c r="H552" s="16"/>
      <c r="I552" s="2"/>
      <c r="J552" s="14"/>
    </row>
    <row r="553" spans="4:10" ht="14.25" customHeight="1" x14ac:dyDescent="0.3">
      <c r="D553" s="19"/>
      <c r="H553" s="16"/>
      <c r="I553" s="2"/>
      <c r="J553" s="14"/>
    </row>
    <row r="554" spans="4:10" ht="14.25" customHeight="1" x14ac:dyDescent="0.3">
      <c r="D554" s="19"/>
      <c r="H554" s="16"/>
      <c r="I554" s="2"/>
      <c r="J554" s="14"/>
    </row>
    <row r="555" spans="4:10" ht="14.25" customHeight="1" x14ac:dyDescent="0.3">
      <c r="D555" s="19"/>
      <c r="H555" s="16"/>
      <c r="I555" s="2"/>
      <c r="J555" s="14"/>
    </row>
    <row r="556" spans="4:10" ht="14.25" customHeight="1" x14ac:dyDescent="0.3">
      <c r="D556" s="19"/>
      <c r="H556" s="16"/>
      <c r="I556" s="2"/>
      <c r="J556" s="14"/>
    </row>
    <row r="557" spans="4:10" ht="14.25" customHeight="1" x14ac:dyDescent="0.3">
      <c r="D557" s="19"/>
      <c r="H557" s="16"/>
      <c r="I557" s="2"/>
      <c r="J557" s="14"/>
    </row>
    <row r="558" spans="4:10" ht="14.25" customHeight="1" x14ac:dyDescent="0.3">
      <c r="D558" s="19"/>
      <c r="H558" s="16"/>
      <c r="I558" s="2"/>
      <c r="J558" s="14"/>
    </row>
    <row r="559" spans="4:10" ht="14.25" customHeight="1" x14ac:dyDescent="0.3">
      <c r="D559" s="19"/>
      <c r="H559" s="16"/>
      <c r="I559" s="2"/>
      <c r="J559" s="14"/>
    </row>
    <row r="560" spans="4:10" ht="14.25" customHeight="1" x14ac:dyDescent="0.3">
      <c r="D560" s="19"/>
      <c r="H560" s="16"/>
      <c r="I560" s="2"/>
      <c r="J560" s="14"/>
    </row>
    <row r="561" spans="4:10" ht="14.25" customHeight="1" x14ac:dyDescent="0.3">
      <c r="D561" s="19"/>
      <c r="H561" s="16"/>
      <c r="I561" s="2"/>
      <c r="J561" s="14"/>
    </row>
    <row r="562" spans="4:10" ht="14.25" customHeight="1" x14ac:dyDescent="0.3">
      <c r="D562" s="19"/>
      <c r="H562" s="16"/>
      <c r="I562" s="2"/>
      <c r="J562" s="14"/>
    </row>
    <row r="563" spans="4:10" ht="14.25" customHeight="1" x14ac:dyDescent="0.3">
      <c r="D563" s="19"/>
      <c r="H563" s="16"/>
      <c r="I563" s="2"/>
      <c r="J563" s="14"/>
    </row>
    <row r="564" spans="4:10" ht="14.25" customHeight="1" x14ac:dyDescent="0.3">
      <c r="D564" s="19"/>
      <c r="H564" s="16"/>
      <c r="I564" s="2"/>
      <c r="J564" s="14"/>
    </row>
    <row r="565" spans="4:10" ht="14.25" customHeight="1" x14ac:dyDescent="0.3">
      <c r="D565" s="19"/>
      <c r="H565" s="16"/>
      <c r="I565" s="2"/>
      <c r="J565" s="14"/>
    </row>
    <row r="566" spans="4:10" ht="14.25" customHeight="1" x14ac:dyDescent="0.3">
      <c r="D566" s="19"/>
      <c r="H566" s="16"/>
      <c r="I566" s="2"/>
      <c r="J566" s="14"/>
    </row>
    <row r="567" spans="4:10" ht="14.25" customHeight="1" x14ac:dyDescent="0.3">
      <c r="D567" s="19"/>
      <c r="H567" s="16"/>
      <c r="I567" s="2"/>
      <c r="J567" s="14"/>
    </row>
    <row r="568" spans="4:10" ht="14.25" customHeight="1" x14ac:dyDescent="0.3">
      <c r="D568" s="19"/>
      <c r="H568" s="16"/>
      <c r="I568" s="2"/>
      <c r="J568" s="14"/>
    </row>
    <row r="569" spans="4:10" ht="14.25" customHeight="1" x14ac:dyDescent="0.3">
      <c r="D569" s="19"/>
      <c r="H569" s="16"/>
      <c r="I569" s="2"/>
      <c r="J569" s="14"/>
    </row>
    <row r="570" spans="4:10" ht="14.25" customHeight="1" x14ac:dyDescent="0.3">
      <c r="D570" s="19"/>
      <c r="H570" s="16"/>
      <c r="I570" s="2"/>
      <c r="J570" s="14"/>
    </row>
    <row r="571" spans="4:10" ht="14.25" customHeight="1" x14ac:dyDescent="0.3">
      <c r="D571" s="19"/>
      <c r="H571" s="16"/>
      <c r="I571" s="2"/>
      <c r="J571" s="14"/>
    </row>
    <row r="572" spans="4:10" ht="14.25" customHeight="1" x14ac:dyDescent="0.3">
      <c r="D572" s="19"/>
      <c r="H572" s="16"/>
      <c r="I572" s="2"/>
      <c r="J572" s="14"/>
    </row>
    <row r="573" spans="4:10" ht="14.25" customHeight="1" x14ac:dyDescent="0.3">
      <c r="D573" s="19"/>
      <c r="H573" s="16"/>
      <c r="I573" s="2"/>
      <c r="J573" s="14"/>
    </row>
    <row r="574" spans="4:10" ht="14.25" customHeight="1" x14ac:dyDescent="0.3">
      <c r="D574" s="19"/>
      <c r="H574" s="16"/>
      <c r="I574" s="2"/>
      <c r="J574" s="14"/>
    </row>
    <row r="575" spans="4:10" ht="14.25" customHeight="1" x14ac:dyDescent="0.3">
      <c r="D575" s="19"/>
      <c r="H575" s="16"/>
      <c r="I575" s="2"/>
      <c r="J575" s="14"/>
    </row>
    <row r="576" spans="4:10" ht="14.25" customHeight="1" x14ac:dyDescent="0.3">
      <c r="D576" s="19"/>
      <c r="H576" s="16"/>
      <c r="I576" s="2"/>
      <c r="J576" s="14"/>
    </row>
    <row r="577" spans="4:10" ht="14.25" customHeight="1" x14ac:dyDescent="0.3">
      <c r="D577" s="19"/>
      <c r="H577" s="16"/>
      <c r="I577" s="2"/>
      <c r="J577" s="14"/>
    </row>
    <row r="578" spans="4:10" ht="14.25" customHeight="1" x14ac:dyDescent="0.3">
      <c r="D578" s="19"/>
      <c r="H578" s="16"/>
      <c r="I578" s="2"/>
      <c r="J578" s="14"/>
    </row>
    <row r="579" spans="4:10" ht="14.25" customHeight="1" x14ac:dyDescent="0.3">
      <c r="D579" s="19"/>
      <c r="H579" s="16"/>
      <c r="I579" s="2"/>
      <c r="J579" s="14"/>
    </row>
    <row r="580" spans="4:10" ht="14.25" customHeight="1" x14ac:dyDescent="0.3">
      <c r="D580" s="19"/>
      <c r="H580" s="16"/>
      <c r="I580" s="2"/>
      <c r="J580" s="14"/>
    </row>
    <row r="581" spans="4:10" ht="14.25" customHeight="1" x14ac:dyDescent="0.3">
      <c r="D581" s="19"/>
      <c r="H581" s="16"/>
      <c r="I581" s="2"/>
      <c r="J581" s="14"/>
    </row>
    <row r="582" spans="4:10" ht="14.25" customHeight="1" x14ac:dyDescent="0.3">
      <c r="D582" s="19"/>
      <c r="H582" s="16"/>
      <c r="I582" s="2"/>
      <c r="J582" s="14"/>
    </row>
    <row r="583" spans="4:10" ht="14.25" customHeight="1" x14ac:dyDescent="0.3">
      <c r="D583" s="19"/>
      <c r="H583" s="16"/>
      <c r="I583" s="2"/>
      <c r="J583" s="14"/>
    </row>
    <row r="584" spans="4:10" ht="14.25" customHeight="1" x14ac:dyDescent="0.3">
      <c r="D584" s="19"/>
      <c r="H584" s="16"/>
      <c r="I584" s="2"/>
      <c r="J584" s="14"/>
    </row>
    <row r="585" spans="4:10" ht="14.25" customHeight="1" x14ac:dyDescent="0.3">
      <c r="D585" s="19"/>
      <c r="H585" s="16"/>
      <c r="I585" s="2"/>
      <c r="J585" s="14"/>
    </row>
    <row r="586" spans="4:10" ht="14.25" customHeight="1" x14ac:dyDescent="0.3">
      <c r="D586" s="19"/>
      <c r="H586" s="16"/>
      <c r="I586" s="2"/>
      <c r="J586" s="14"/>
    </row>
    <row r="587" spans="4:10" ht="14.25" customHeight="1" x14ac:dyDescent="0.3">
      <c r="D587" s="19"/>
      <c r="H587" s="16"/>
      <c r="I587" s="2"/>
      <c r="J587" s="14"/>
    </row>
    <row r="588" spans="4:10" ht="14.25" customHeight="1" x14ac:dyDescent="0.3">
      <c r="D588" s="19"/>
      <c r="H588" s="16"/>
      <c r="I588" s="2"/>
      <c r="J588" s="14"/>
    </row>
    <row r="589" spans="4:10" ht="14.25" customHeight="1" x14ac:dyDescent="0.3">
      <c r="D589" s="19"/>
      <c r="H589" s="16"/>
      <c r="I589" s="2"/>
      <c r="J589" s="14"/>
    </row>
    <row r="590" spans="4:10" ht="14.25" customHeight="1" x14ac:dyDescent="0.3">
      <c r="D590" s="19"/>
      <c r="H590" s="16"/>
      <c r="I590" s="2"/>
      <c r="J590" s="14"/>
    </row>
    <row r="591" spans="4:10" ht="14.25" customHeight="1" x14ac:dyDescent="0.3">
      <c r="D591" s="19"/>
      <c r="H591" s="16"/>
      <c r="I591" s="2"/>
      <c r="J591" s="14"/>
    </row>
    <row r="592" spans="4:10" ht="14.25" customHeight="1" x14ac:dyDescent="0.3">
      <c r="D592" s="19"/>
      <c r="H592" s="16"/>
      <c r="I592" s="2"/>
      <c r="J592" s="14"/>
    </row>
    <row r="593" spans="4:10" ht="14.25" customHeight="1" x14ac:dyDescent="0.3">
      <c r="D593" s="19"/>
      <c r="H593" s="16"/>
      <c r="I593" s="2"/>
      <c r="J593" s="14"/>
    </row>
    <row r="594" spans="4:10" ht="14.25" customHeight="1" x14ac:dyDescent="0.3">
      <c r="D594" s="19"/>
      <c r="H594" s="16"/>
      <c r="I594" s="2"/>
      <c r="J594" s="14"/>
    </row>
    <row r="595" spans="4:10" ht="14.25" customHeight="1" x14ac:dyDescent="0.3">
      <c r="D595" s="19"/>
      <c r="H595" s="16"/>
      <c r="I595" s="2"/>
      <c r="J595" s="14"/>
    </row>
    <row r="596" spans="4:10" ht="14.25" customHeight="1" x14ac:dyDescent="0.3">
      <c r="D596" s="19"/>
      <c r="H596" s="16"/>
      <c r="I596" s="2"/>
      <c r="J596" s="14"/>
    </row>
    <row r="597" spans="4:10" ht="14.25" customHeight="1" x14ac:dyDescent="0.3">
      <c r="D597" s="19"/>
      <c r="H597" s="16"/>
      <c r="I597" s="2"/>
      <c r="J597" s="14"/>
    </row>
    <row r="598" spans="4:10" ht="14.25" customHeight="1" x14ac:dyDescent="0.3">
      <c r="D598" s="19"/>
      <c r="H598" s="16"/>
      <c r="I598" s="2"/>
      <c r="J598" s="14"/>
    </row>
    <row r="599" spans="4:10" ht="14.25" customHeight="1" x14ac:dyDescent="0.3">
      <c r="D599" s="19"/>
      <c r="H599" s="16"/>
      <c r="I599" s="2"/>
      <c r="J599" s="14"/>
    </row>
    <row r="600" spans="4:10" ht="14.25" customHeight="1" x14ac:dyDescent="0.3">
      <c r="D600" s="19"/>
      <c r="H600" s="16"/>
      <c r="I600" s="2"/>
      <c r="J600" s="14"/>
    </row>
    <row r="601" spans="4:10" ht="14.25" customHeight="1" x14ac:dyDescent="0.3">
      <c r="D601" s="19"/>
      <c r="H601" s="16"/>
      <c r="I601" s="2"/>
      <c r="J601" s="14"/>
    </row>
    <row r="602" spans="4:10" ht="14.25" customHeight="1" x14ac:dyDescent="0.3">
      <c r="D602" s="19"/>
      <c r="H602" s="16"/>
      <c r="I602" s="2"/>
      <c r="J602" s="14"/>
    </row>
    <row r="603" spans="4:10" ht="14.25" customHeight="1" x14ac:dyDescent="0.3">
      <c r="D603" s="19"/>
      <c r="H603" s="16"/>
      <c r="I603" s="2"/>
      <c r="J603" s="14"/>
    </row>
    <row r="604" spans="4:10" ht="14.25" customHeight="1" x14ac:dyDescent="0.3">
      <c r="D604" s="19"/>
      <c r="H604" s="16"/>
      <c r="I604" s="2"/>
      <c r="J604" s="14"/>
    </row>
    <row r="605" spans="4:10" ht="14.25" customHeight="1" x14ac:dyDescent="0.3">
      <c r="D605" s="19"/>
      <c r="H605" s="16"/>
      <c r="I605" s="2"/>
      <c r="J605" s="14"/>
    </row>
    <row r="606" spans="4:10" ht="14.25" customHeight="1" x14ac:dyDescent="0.3">
      <c r="D606" s="19"/>
      <c r="H606" s="16"/>
      <c r="I606" s="2"/>
      <c r="J606" s="14"/>
    </row>
    <row r="607" spans="4:10" ht="14.25" customHeight="1" x14ac:dyDescent="0.3">
      <c r="D607" s="19"/>
      <c r="H607" s="16"/>
      <c r="I607" s="2"/>
      <c r="J607" s="14"/>
    </row>
    <row r="608" spans="4:10" ht="14.25" customHeight="1" x14ac:dyDescent="0.3">
      <c r="D608" s="19"/>
      <c r="H608" s="16"/>
      <c r="I608" s="2"/>
      <c r="J608" s="14"/>
    </row>
    <row r="609" spans="4:10" ht="14.25" customHeight="1" x14ac:dyDescent="0.3">
      <c r="D609" s="19"/>
      <c r="H609" s="16"/>
      <c r="I609" s="2"/>
      <c r="J609" s="14"/>
    </row>
    <row r="610" spans="4:10" ht="14.25" customHeight="1" x14ac:dyDescent="0.3">
      <c r="D610" s="19"/>
      <c r="H610" s="16"/>
      <c r="I610" s="2"/>
      <c r="J610" s="14"/>
    </row>
    <row r="611" spans="4:10" ht="14.25" customHeight="1" x14ac:dyDescent="0.3">
      <c r="D611" s="19"/>
      <c r="H611" s="16"/>
      <c r="I611" s="2"/>
      <c r="J611" s="14"/>
    </row>
    <row r="612" spans="4:10" ht="14.25" customHeight="1" x14ac:dyDescent="0.3">
      <c r="D612" s="19"/>
      <c r="H612" s="16"/>
      <c r="I612" s="2"/>
      <c r="J612" s="14"/>
    </row>
    <row r="613" spans="4:10" ht="14.25" customHeight="1" x14ac:dyDescent="0.3">
      <c r="D613" s="19"/>
      <c r="H613" s="16"/>
      <c r="I613" s="2"/>
      <c r="J613" s="14"/>
    </row>
    <row r="614" spans="4:10" ht="14.25" customHeight="1" x14ac:dyDescent="0.3">
      <c r="D614" s="19"/>
      <c r="H614" s="16"/>
      <c r="I614" s="2"/>
      <c r="J614" s="14"/>
    </row>
    <row r="615" spans="4:10" ht="14.25" customHeight="1" x14ac:dyDescent="0.3">
      <c r="D615" s="19"/>
      <c r="H615" s="16"/>
      <c r="I615" s="2"/>
      <c r="J615" s="14"/>
    </row>
    <row r="616" spans="4:10" ht="14.25" customHeight="1" x14ac:dyDescent="0.3">
      <c r="D616" s="19"/>
      <c r="H616" s="16"/>
      <c r="I616" s="2"/>
      <c r="J616" s="14"/>
    </row>
    <row r="617" spans="4:10" ht="14.25" customHeight="1" x14ac:dyDescent="0.3">
      <c r="D617" s="19"/>
      <c r="H617" s="16"/>
      <c r="I617" s="2"/>
      <c r="J617" s="14"/>
    </row>
    <row r="618" spans="4:10" ht="14.25" customHeight="1" x14ac:dyDescent="0.3">
      <c r="D618" s="19"/>
      <c r="H618" s="16"/>
      <c r="I618" s="2"/>
      <c r="J618" s="14"/>
    </row>
    <row r="619" spans="4:10" ht="14.25" customHeight="1" x14ac:dyDescent="0.3">
      <c r="D619" s="19"/>
      <c r="H619" s="16"/>
      <c r="I619" s="2"/>
      <c r="J619" s="14"/>
    </row>
    <row r="620" spans="4:10" ht="14.25" customHeight="1" x14ac:dyDescent="0.3">
      <c r="D620" s="19"/>
      <c r="H620" s="16"/>
      <c r="I620" s="2"/>
      <c r="J620" s="14"/>
    </row>
    <row r="621" spans="4:10" ht="14.25" customHeight="1" x14ac:dyDescent="0.3">
      <c r="D621" s="19"/>
      <c r="H621" s="16"/>
      <c r="I621" s="2"/>
      <c r="J621" s="14"/>
    </row>
    <row r="622" spans="4:10" ht="14.25" customHeight="1" x14ac:dyDescent="0.3">
      <c r="D622" s="19"/>
      <c r="H622" s="16"/>
      <c r="I622" s="2"/>
      <c r="J622" s="14"/>
    </row>
    <row r="623" spans="4:10" ht="14.25" customHeight="1" x14ac:dyDescent="0.3">
      <c r="D623" s="19"/>
      <c r="H623" s="16"/>
      <c r="I623" s="2"/>
      <c r="J623" s="14"/>
    </row>
    <row r="624" spans="4:10" ht="14.25" customHeight="1" x14ac:dyDescent="0.3">
      <c r="D624" s="19"/>
      <c r="H624" s="16"/>
      <c r="I624" s="2"/>
      <c r="J624" s="14"/>
    </row>
    <row r="625" spans="4:10" ht="14.25" customHeight="1" x14ac:dyDescent="0.3">
      <c r="D625" s="19"/>
      <c r="H625" s="16"/>
      <c r="I625" s="2"/>
      <c r="J625" s="14"/>
    </row>
    <row r="626" spans="4:10" ht="14.25" customHeight="1" x14ac:dyDescent="0.3">
      <c r="D626" s="19"/>
      <c r="H626" s="16"/>
      <c r="I626" s="2"/>
      <c r="J626" s="14"/>
    </row>
    <row r="627" spans="4:10" ht="14.25" customHeight="1" x14ac:dyDescent="0.3">
      <c r="D627" s="19"/>
      <c r="H627" s="16"/>
      <c r="I627" s="2"/>
      <c r="J627" s="14"/>
    </row>
    <row r="628" spans="4:10" ht="14.25" customHeight="1" x14ac:dyDescent="0.3">
      <c r="D628" s="19"/>
      <c r="H628" s="16"/>
      <c r="I628" s="2"/>
      <c r="J628" s="14"/>
    </row>
    <row r="629" spans="4:10" ht="14.25" customHeight="1" x14ac:dyDescent="0.3">
      <c r="D629" s="19"/>
      <c r="H629" s="16"/>
      <c r="I629" s="2"/>
      <c r="J629" s="14"/>
    </row>
    <row r="630" spans="4:10" ht="14.25" customHeight="1" x14ac:dyDescent="0.3">
      <c r="D630" s="19"/>
      <c r="H630" s="16"/>
      <c r="I630" s="2"/>
      <c r="J630" s="14"/>
    </row>
    <row r="631" spans="4:10" ht="14.25" customHeight="1" x14ac:dyDescent="0.3">
      <c r="D631" s="19"/>
      <c r="H631" s="16"/>
      <c r="I631" s="2"/>
      <c r="J631" s="14"/>
    </row>
    <row r="632" spans="4:10" ht="14.25" customHeight="1" x14ac:dyDescent="0.3">
      <c r="D632" s="19"/>
      <c r="H632" s="16"/>
      <c r="I632" s="2"/>
      <c r="J632" s="14"/>
    </row>
    <row r="633" spans="4:10" ht="14.25" customHeight="1" x14ac:dyDescent="0.3">
      <c r="D633" s="19"/>
      <c r="H633" s="16"/>
      <c r="I633" s="2"/>
      <c r="J633" s="14"/>
    </row>
    <row r="634" spans="4:10" ht="14.25" customHeight="1" x14ac:dyDescent="0.3">
      <c r="D634" s="19"/>
      <c r="H634" s="16"/>
      <c r="I634" s="2"/>
      <c r="J634" s="14"/>
    </row>
    <row r="635" spans="4:10" ht="14.25" customHeight="1" x14ac:dyDescent="0.3">
      <c r="D635" s="19"/>
      <c r="H635" s="16"/>
      <c r="I635" s="2"/>
      <c r="J635" s="14"/>
    </row>
    <row r="636" spans="4:10" ht="14.25" customHeight="1" x14ac:dyDescent="0.3">
      <c r="D636" s="19"/>
      <c r="H636" s="16"/>
      <c r="I636" s="2"/>
      <c r="J636" s="14"/>
    </row>
    <row r="637" spans="4:10" ht="14.25" customHeight="1" x14ac:dyDescent="0.3">
      <c r="D637" s="19"/>
      <c r="H637" s="16"/>
      <c r="I637" s="2"/>
      <c r="J637" s="14"/>
    </row>
    <row r="638" spans="4:10" ht="14.25" customHeight="1" x14ac:dyDescent="0.3">
      <c r="D638" s="19"/>
      <c r="H638" s="16"/>
      <c r="I638" s="2"/>
      <c r="J638" s="14"/>
    </row>
    <row r="639" spans="4:10" ht="14.25" customHeight="1" x14ac:dyDescent="0.3">
      <c r="D639" s="19"/>
      <c r="H639" s="16"/>
      <c r="I639" s="2"/>
      <c r="J639" s="14"/>
    </row>
    <row r="640" spans="4:10" ht="14.25" customHeight="1" x14ac:dyDescent="0.3">
      <c r="D640" s="19"/>
      <c r="H640" s="16"/>
      <c r="I640" s="2"/>
      <c r="J640" s="14"/>
    </row>
    <row r="641" spans="4:10" ht="14.25" customHeight="1" x14ac:dyDescent="0.3">
      <c r="D641" s="19"/>
      <c r="H641" s="16"/>
      <c r="I641" s="2"/>
      <c r="J641" s="14"/>
    </row>
    <row r="642" spans="4:10" ht="14.25" customHeight="1" x14ac:dyDescent="0.3">
      <c r="D642" s="19"/>
      <c r="H642" s="16"/>
      <c r="I642" s="2"/>
      <c r="J642" s="14"/>
    </row>
    <row r="643" spans="4:10" ht="14.25" customHeight="1" x14ac:dyDescent="0.3">
      <c r="D643" s="19"/>
      <c r="H643" s="16"/>
      <c r="I643" s="2"/>
      <c r="J643" s="14"/>
    </row>
    <row r="644" spans="4:10" ht="14.25" customHeight="1" x14ac:dyDescent="0.3">
      <c r="D644" s="19"/>
      <c r="H644" s="16"/>
      <c r="I644" s="2"/>
      <c r="J644" s="14"/>
    </row>
    <row r="645" spans="4:10" ht="14.25" customHeight="1" x14ac:dyDescent="0.3">
      <c r="D645" s="19"/>
      <c r="H645" s="16"/>
      <c r="I645" s="2"/>
      <c r="J645" s="14"/>
    </row>
    <row r="646" spans="4:10" ht="14.25" customHeight="1" x14ac:dyDescent="0.3">
      <c r="D646" s="19"/>
      <c r="H646" s="16"/>
      <c r="I646" s="2"/>
      <c r="J646" s="14"/>
    </row>
    <row r="647" spans="4:10" ht="14.25" customHeight="1" x14ac:dyDescent="0.3">
      <c r="D647" s="19"/>
      <c r="H647" s="16"/>
      <c r="I647" s="2"/>
      <c r="J647" s="14"/>
    </row>
    <row r="648" spans="4:10" ht="14.25" customHeight="1" x14ac:dyDescent="0.3">
      <c r="D648" s="19"/>
      <c r="H648" s="16"/>
      <c r="I648" s="2"/>
      <c r="J648" s="14"/>
    </row>
    <row r="649" spans="4:10" ht="14.25" customHeight="1" x14ac:dyDescent="0.3">
      <c r="D649" s="19"/>
      <c r="H649" s="16"/>
      <c r="I649" s="2"/>
      <c r="J649" s="14"/>
    </row>
    <row r="650" spans="4:10" ht="14.25" customHeight="1" x14ac:dyDescent="0.3">
      <c r="D650" s="19"/>
      <c r="H650" s="16"/>
      <c r="I650" s="2"/>
      <c r="J650" s="14"/>
    </row>
    <row r="651" spans="4:10" ht="14.25" customHeight="1" x14ac:dyDescent="0.3">
      <c r="D651" s="19"/>
      <c r="H651" s="16"/>
      <c r="I651" s="2"/>
      <c r="J651" s="14"/>
    </row>
    <row r="652" spans="4:10" ht="14.25" customHeight="1" x14ac:dyDescent="0.3">
      <c r="D652" s="19"/>
      <c r="H652" s="16"/>
      <c r="I652" s="2"/>
      <c r="J652" s="14"/>
    </row>
    <row r="653" spans="4:10" ht="14.25" customHeight="1" x14ac:dyDescent="0.3">
      <c r="D653" s="19"/>
      <c r="H653" s="16"/>
      <c r="I653" s="2"/>
      <c r="J653" s="14"/>
    </row>
    <row r="654" spans="4:10" ht="14.25" customHeight="1" x14ac:dyDescent="0.3">
      <c r="D654" s="19"/>
      <c r="H654" s="16"/>
      <c r="I654" s="2"/>
      <c r="J654" s="14"/>
    </row>
    <row r="655" spans="4:10" ht="14.25" customHeight="1" x14ac:dyDescent="0.3">
      <c r="D655" s="19"/>
      <c r="H655" s="16"/>
      <c r="I655" s="2"/>
      <c r="J655" s="14"/>
    </row>
    <row r="656" spans="4:10" ht="14.25" customHeight="1" x14ac:dyDescent="0.3">
      <c r="D656" s="19"/>
      <c r="H656" s="16"/>
      <c r="I656" s="2"/>
      <c r="J656" s="14"/>
    </row>
    <row r="657" spans="4:10" ht="14.25" customHeight="1" x14ac:dyDescent="0.3">
      <c r="D657" s="19"/>
      <c r="H657" s="16"/>
      <c r="I657" s="2"/>
      <c r="J657" s="14"/>
    </row>
    <row r="658" spans="4:10" ht="14.25" customHeight="1" x14ac:dyDescent="0.3">
      <c r="D658" s="19"/>
      <c r="H658" s="16"/>
      <c r="I658" s="2"/>
      <c r="J658" s="14"/>
    </row>
    <row r="659" spans="4:10" ht="14.25" customHeight="1" x14ac:dyDescent="0.3">
      <c r="D659" s="19"/>
      <c r="H659" s="16"/>
      <c r="I659" s="2"/>
      <c r="J659" s="14"/>
    </row>
    <row r="660" spans="4:10" ht="14.25" customHeight="1" x14ac:dyDescent="0.3">
      <c r="D660" s="19"/>
      <c r="H660" s="16"/>
      <c r="I660" s="2"/>
      <c r="J660" s="14"/>
    </row>
    <row r="661" spans="4:10" ht="14.25" customHeight="1" x14ac:dyDescent="0.3">
      <c r="D661" s="19"/>
      <c r="H661" s="16"/>
      <c r="I661" s="2"/>
      <c r="J661" s="14"/>
    </row>
    <row r="662" spans="4:10" ht="14.25" customHeight="1" x14ac:dyDescent="0.3">
      <c r="D662" s="19"/>
      <c r="H662" s="16"/>
      <c r="I662" s="2"/>
      <c r="J662" s="14"/>
    </row>
    <row r="663" spans="4:10" ht="14.25" customHeight="1" x14ac:dyDescent="0.3">
      <c r="D663" s="19"/>
      <c r="H663" s="16"/>
      <c r="I663" s="2"/>
      <c r="J663" s="14"/>
    </row>
    <row r="664" spans="4:10" ht="14.25" customHeight="1" x14ac:dyDescent="0.3">
      <c r="D664" s="19"/>
      <c r="H664" s="16"/>
      <c r="I664" s="2"/>
      <c r="J664" s="14"/>
    </row>
    <row r="665" spans="4:10" ht="14.25" customHeight="1" x14ac:dyDescent="0.3">
      <c r="D665" s="19"/>
      <c r="H665" s="16"/>
      <c r="I665" s="2"/>
      <c r="J665" s="14"/>
    </row>
    <row r="666" spans="4:10" ht="14.25" customHeight="1" x14ac:dyDescent="0.3">
      <c r="D666" s="19"/>
      <c r="H666" s="16"/>
      <c r="I666" s="2"/>
      <c r="J666" s="14"/>
    </row>
    <row r="667" spans="4:10" ht="14.25" customHeight="1" x14ac:dyDescent="0.3">
      <c r="D667" s="19"/>
      <c r="H667" s="16"/>
      <c r="I667" s="2"/>
      <c r="J667" s="14"/>
    </row>
    <row r="668" spans="4:10" ht="14.25" customHeight="1" x14ac:dyDescent="0.3">
      <c r="D668" s="19"/>
      <c r="H668" s="16"/>
      <c r="I668" s="2"/>
      <c r="J668" s="14"/>
    </row>
    <row r="669" spans="4:10" ht="14.25" customHeight="1" x14ac:dyDescent="0.3">
      <c r="D669" s="19"/>
      <c r="H669" s="16"/>
      <c r="I669" s="2"/>
      <c r="J669" s="14"/>
    </row>
    <row r="670" spans="4:10" ht="14.25" customHeight="1" x14ac:dyDescent="0.3">
      <c r="D670" s="19"/>
      <c r="H670" s="16"/>
      <c r="I670" s="2"/>
      <c r="J670" s="14"/>
    </row>
    <row r="671" spans="4:10" ht="14.25" customHeight="1" x14ac:dyDescent="0.3">
      <c r="D671" s="19"/>
      <c r="H671" s="16"/>
      <c r="I671" s="2"/>
      <c r="J671" s="14"/>
    </row>
    <row r="672" spans="4:10" ht="14.25" customHeight="1" x14ac:dyDescent="0.3">
      <c r="D672" s="19"/>
      <c r="H672" s="16"/>
      <c r="I672" s="2"/>
      <c r="J672" s="14"/>
    </row>
    <row r="673" spans="4:10" ht="14.25" customHeight="1" x14ac:dyDescent="0.3">
      <c r="D673" s="19"/>
      <c r="H673" s="16"/>
      <c r="I673" s="2"/>
      <c r="J673" s="14"/>
    </row>
    <row r="674" spans="4:10" ht="14.25" customHeight="1" x14ac:dyDescent="0.3">
      <c r="D674" s="19"/>
      <c r="H674" s="16"/>
      <c r="I674" s="2"/>
      <c r="J674" s="14"/>
    </row>
    <row r="675" spans="4:10" ht="14.25" customHeight="1" x14ac:dyDescent="0.3">
      <c r="D675" s="19"/>
      <c r="H675" s="16"/>
      <c r="I675" s="2"/>
      <c r="J675" s="14"/>
    </row>
    <row r="676" spans="4:10" ht="14.25" customHeight="1" x14ac:dyDescent="0.3">
      <c r="D676" s="19"/>
      <c r="H676" s="16"/>
      <c r="I676" s="2"/>
      <c r="J676" s="14"/>
    </row>
    <row r="677" spans="4:10" ht="14.25" customHeight="1" x14ac:dyDescent="0.3">
      <c r="D677" s="19"/>
      <c r="H677" s="16"/>
      <c r="I677" s="2"/>
      <c r="J677" s="14"/>
    </row>
    <row r="678" spans="4:10" ht="14.25" customHeight="1" x14ac:dyDescent="0.3">
      <c r="D678" s="19"/>
      <c r="H678" s="16"/>
      <c r="I678" s="2"/>
      <c r="J678" s="14"/>
    </row>
    <row r="679" spans="4:10" ht="14.25" customHeight="1" x14ac:dyDescent="0.3">
      <c r="D679" s="19"/>
      <c r="H679" s="16"/>
      <c r="I679" s="2"/>
      <c r="J679" s="14"/>
    </row>
    <row r="680" spans="4:10" ht="14.25" customHeight="1" x14ac:dyDescent="0.3">
      <c r="D680" s="19"/>
      <c r="H680" s="16"/>
      <c r="I680" s="2"/>
      <c r="J680" s="14"/>
    </row>
    <row r="681" spans="4:10" ht="14.25" customHeight="1" x14ac:dyDescent="0.3">
      <c r="D681" s="19"/>
      <c r="H681" s="16"/>
      <c r="I681" s="2"/>
      <c r="J681" s="14"/>
    </row>
    <row r="682" spans="4:10" ht="14.25" customHeight="1" x14ac:dyDescent="0.3">
      <c r="D682" s="19"/>
      <c r="H682" s="16"/>
      <c r="I682" s="2"/>
      <c r="J682" s="14"/>
    </row>
    <row r="683" spans="4:10" ht="14.25" customHeight="1" x14ac:dyDescent="0.3">
      <c r="D683" s="19"/>
      <c r="H683" s="16"/>
      <c r="I683" s="2"/>
      <c r="J683" s="14"/>
    </row>
    <row r="684" spans="4:10" ht="14.25" customHeight="1" x14ac:dyDescent="0.3">
      <c r="D684" s="19"/>
      <c r="H684" s="16"/>
      <c r="I684" s="2"/>
      <c r="J684" s="14"/>
    </row>
    <row r="685" spans="4:10" ht="14.25" customHeight="1" x14ac:dyDescent="0.3">
      <c r="D685" s="19"/>
      <c r="H685" s="16"/>
      <c r="I685" s="2"/>
      <c r="J685" s="14"/>
    </row>
    <row r="686" spans="4:10" ht="14.25" customHeight="1" x14ac:dyDescent="0.3">
      <c r="D686" s="19"/>
      <c r="H686" s="16"/>
      <c r="I686" s="2"/>
      <c r="J686" s="14"/>
    </row>
    <row r="687" spans="4:10" ht="14.25" customHeight="1" x14ac:dyDescent="0.3">
      <c r="D687" s="19"/>
      <c r="H687" s="16"/>
      <c r="I687" s="2"/>
      <c r="J687" s="14"/>
    </row>
    <row r="688" spans="4:10" ht="14.25" customHeight="1" x14ac:dyDescent="0.3">
      <c r="D688" s="19"/>
      <c r="H688" s="16"/>
      <c r="I688" s="2"/>
      <c r="J688" s="14"/>
    </row>
    <row r="689" spans="4:10" ht="14.25" customHeight="1" x14ac:dyDescent="0.3">
      <c r="D689" s="19"/>
      <c r="H689" s="16"/>
      <c r="I689" s="2"/>
      <c r="J689" s="14"/>
    </row>
    <row r="690" spans="4:10" ht="14.25" customHeight="1" x14ac:dyDescent="0.3">
      <c r="D690" s="19"/>
      <c r="H690" s="16"/>
      <c r="I690" s="2"/>
      <c r="J690" s="14"/>
    </row>
    <row r="691" spans="4:10" ht="14.25" customHeight="1" x14ac:dyDescent="0.3">
      <c r="D691" s="19"/>
      <c r="H691" s="16"/>
      <c r="I691" s="2"/>
      <c r="J691" s="14"/>
    </row>
    <row r="692" spans="4:10" ht="14.25" customHeight="1" x14ac:dyDescent="0.3">
      <c r="D692" s="19"/>
      <c r="H692" s="16"/>
      <c r="I692" s="2"/>
      <c r="J692" s="14"/>
    </row>
    <row r="693" spans="4:10" ht="14.25" customHeight="1" x14ac:dyDescent="0.3">
      <c r="D693" s="19"/>
      <c r="H693" s="16"/>
      <c r="I693" s="2"/>
      <c r="J693" s="14"/>
    </row>
    <row r="694" spans="4:10" ht="14.25" customHeight="1" x14ac:dyDescent="0.3">
      <c r="D694" s="19"/>
      <c r="H694" s="16"/>
      <c r="I694" s="2"/>
      <c r="J694" s="14"/>
    </row>
    <row r="695" spans="4:10" ht="14.25" customHeight="1" x14ac:dyDescent="0.3">
      <c r="D695" s="19"/>
      <c r="H695" s="16"/>
      <c r="I695" s="2"/>
      <c r="J695" s="14"/>
    </row>
    <row r="696" spans="4:10" ht="14.25" customHeight="1" x14ac:dyDescent="0.3">
      <c r="D696" s="19"/>
      <c r="H696" s="16"/>
      <c r="I696" s="2"/>
      <c r="J696" s="14"/>
    </row>
    <row r="697" spans="4:10" ht="14.25" customHeight="1" x14ac:dyDescent="0.3">
      <c r="D697" s="19"/>
      <c r="H697" s="16"/>
      <c r="I697" s="2"/>
      <c r="J697" s="14"/>
    </row>
    <row r="698" spans="4:10" ht="14.25" customHeight="1" x14ac:dyDescent="0.3">
      <c r="D698" s="19"/>
      <c r="H698" s="16"/>
      <c r="I698" s="2"/>
      <c r="J698" s="14"/>
    </row>
    <row r="699" spans="4:10" ht="14.25" customHeight="1" x14ac:dyDescent="0.3">
      <c r="D699" s="19"/>
      <c r="H699" s="16"/>
      <c r="I699" s="2"/>
      <c r="J699" s="14"/>
    </row>
    <row r="700" spans="4:10" ht="14.25" customHeight="1" x14ac:dyDescent="0.3">
      <c r="D700" s="19"/>
      <c r="H700" s="16"/>
      <c r="I700" s="2"/>
      <c r="J700" s="14"/>
    </row>
    <row r="701" spans="4:10" ht="14.25" customHeight="1" x14ac:dyDescent="0.3">
      <c r="D701" s="19"/>
      <c r="H701" s="16"/>
      <c r="I701" s="2"/>
      <c r="J701" s="14"/>
    </row>
    <row r="702" spans="4:10" ht="14.25" customHeight="1" x14ac:dyDescent="0.3">
      <c r="D702" s="19"/>
      <c r="H702" s="16"/>
      <c r="I702" s="2"/>
      <c r="J702" s="14"/>
    </row>
    <row r="703" spans="4:10" ht="14.25" customHeight="1" x14ac:dyDescent="0.3">
      <c r="D703" s="19"/>
      <c r="H703" s="16"/>
      <c r="I703" s="2"/>
      <c r="J703" s="14"/>
    </row>
    <row r="704" spans="4:10" ht="14.25" customHeight="1" x14ac:dyDescent="0.3">
      <c r="D704" s="19"/>
      <c r="H704" s="16"/>
      <c r="I704" s="2"/>
      <c r="J704" s="14"/>
    </row>
    <row r="705" spans="4:10" ht="14.25" customHeight="1" x14ac:dyDescent="0.3">
      <c r="D705" s="19"/>
      <c r="H705" s="16"/>
      <c r="I705" s="2"/>
      <c r="J705" s="14"/>
    </row>
    <row r="706" spans="4:10" ht="14.25" customHeight="1" x14ac:dyDescent="0.3">
      <c r="D706" s="19"/>
      <c r="H706" s="16"/>
      <c r="I706" s="2"/>
      <c r="J706" s="14"/>
    </row>
    <row r="707" spans="4:10" ht="14.25" customHeight="1" x14ac:dyDescent="0.3">
      <c r="D707" s="19"/>
      <c r="H707" s="16"/>
      <c r="I707" s="2"/>
      <c r="J707" s="14"/>
    </row>
    <row r="708" spans="4:10" ht="14.25" customHeight="1" x14ac:dyDescent="0.3">
      <c r="D708" s="19"/>
      <c r="H708" s="16"/>
      <c r="I708" s="2"/>
      <c r="J708" s="14"/>
    </row>
    <row r="709" spans="4:10" ht="14.25" customHeight="1" x14ac:dyDescent="0.3">
      <c r="D709" s="19"/>
      <c r="H709" s="16"/>
      <c r="I709" s="2"/>
      <c r="J709" s="14"/>
    </row>
    <row r="710" spans="4:10" ht="14.25" customHeight="1" x14ac:dyDescent="0.3">
      <c r="D710" s="19"/>
      <c r="H710" s="16"/>
      <c r="I710" s="2"/>
      <c r="J710" s="14"/>
    </row>
    <row r="711" spans="4:10" ht="14.25" customHeight="1" x14ac:dyDescent="0.3">
      <c r="D711" s="19"/>
      <c r="H711" s="16"/>
      <c r="I711" s="2"/>
      <c r="J711" s="14"/>
    </row>
    <row r="712" spans="4:10" ht="14.25" customHeight="1" x14ac:dyDescent="0.3">
      <c r="D712" s="19"/>
      <c r="H712" s="16"/>
      <c r="I712" s="2"/>
      <c r="J712" s="14"/>
    </row>
    <row r="713" spans="4:10" ht="14.25" customHeight="1" x14ac:dyDescent="0.3">
      <c r="D713" s="19"/>
      <c r="H713" s="16"/>
      <c r="I713" s="2"/>
      <c r="J713" s="14"/>
    </row>
    <row r="714" spans="4:10" ht="14.25" customHeight="1" x14ac:dyDescent="0.3">
      <c r="D714" s="19"/>
      <c r="H714" s="16"/>
      <c r="I714" s="2"/>
      <c r="J714" s="14"/>
    </row>
    <row r="715" spans="4:10" ht="14.25" customHeight="1" x14ac:dyDescent="0.3">
      <c r="D715" s="19"/>
      <c r="H715" s="16"/>
      <c r="I715" s="2"/>
      <c r="J715" s="14"/>
    </row>
    <row r="716" spans="4:10" ht="14.25" customHeight="1" x14ac:dyDescent="0.3">
      <c r="D716" s="19"/>
      <c r="H716" s="16"/>
      <c r="I716" s="2"/>
      <c r="J716" s="14"/>
    </row>
    <row r="717" spans="4:10" ht="14.25" customHeight="1" x14ac:dyDescent="0.3">
      <c r="D717" s="19"/>
      <c r="H717" s="16"/>
      <c r="I717" s="2"/>
      <c r="J717" s="14"/>
    </row>
    <row r="718" spans="4:10" ht="14.25" customHeight="1" x14ac:dyDescent="0.3">
      <c r="D718" s="19"/>
      <c r="H718" s="16"/>
      <c r="I718" s="2"/>
      <c r="J718" s="14"/>
    </row>
    <row r="719" spans="4:10" ht="14.25" customHeight="1" x14ac:dyDescent="0.3">
      <c r="D719" s="19"/>
      <c r="H719" s="16"/>
      <c r="I719" s="2"/>
      <c r="J719" s="14"/>
    </row>
    <row r="720" spans="4:10" ht="14.25" customHeight="1" x14ac:dyDescent="0.3">
      <c r="D720" s="19"/>
      <c r="H720" s="16"/>
      <c r="I720" s="2"/>
      <c r="J720" s="14"/>
    </row>
    <row r="721" spans="4:10" ht="14.25" customHeight="1" x14ac:dyDescent="0.3">
      <c r="D721" s="19"/>
      <c r="H721" s="16"/>
      <c r="I721" s="2"/>
      <c r="J721" s="14"/>
    </row>
    <row r="722" spans="4:10" ht="14.25" customHeight="1" x14ac:dyDescent="0.3">
      <c r="D722" s="19"/>
      <c r="H722" s="16"/>
      <c r="I722" s="2"/>
      <c r="J722" s="14"/>
    </row>
    <row r="723" spans="4:10" ht="14.25" customHeight="1" x14ac:dyDescent="0.3">
      <c r="D723" s="19"/>
      <c r="H723" s="16"/>
      <c r="I723" s="2"/>
      <c r="J723" s="14"/>
    </row>
    <row r="724" spans="4:10" ht="14.25" customHeight="1" x14ac:dyDescent="0.3">
      <c r="D724" s="19"/>
      <c r="H724" s="16"/>
      <c r="I724" s="2"/>
      <c r="J724" s="14"/>
    </row>
    <row r="725" spans="4:10" ht="14.25" customHeight="1" x14ac:dyDescent="0.3">
      <c r="D725" s="19"/>
      <c r="H725" s="16"/>
      <c r="I725" s="2"/>
      <c r="J725" s="14"/>
    </row>
    <row r="726" spans="4:10" ht="14.25" customHeight="1" x14ac:dyDescent="0.3">
      <c r="D726" s="19"/>
      <c r="H726" s="16"/>
      <c r="I726" s="2"/>
      <c r="J726" s="14"/>
    </row>
    <row r="727" spans="4:10" ht="14.25" customHeight="1" x14ac:dyDescent="0.3">
      <c r="D727" s="19"/>
      <c r="H727" s="16"/>
      <c r="I727" s="2"/>
      <c r="J727" s="14"/>
    </row>
    <row r="728" spans="4:10" ht="14.25" customHeight="1" x14ac:dyDescent="0.3">
      <c r="D728" s="19"/>
      <c r="H728" s="16"/>
      <c r="I728" s="2"/>
      <c r="J728" s="14"/>
    </row>
    <row r="729" spans="4:10" ht="14.25" customHeight="1" x14ac:dyDescent="0.3">
      <c r="D729" s="19"/>
      <c r="H729" s="16"/>
      <c r="I729" s="2"/>
      <c r="J729" s="14"/>
    </row>
    <row r="730" spans="4:10" ht="14.25" customHeight="1" x14ac:dyDescent="0.3">
      <c r="D730" s="19"/>
      <c r="H730" s="16"/>
      <c r="I730" s="2"/>
      <c r="J730" s="14"/>
    </row>
    <row r="731" spans="4:10" ht="14.25" customHeight="1" x14ac:dyDescent="0.3">
      <c r="D731" s="19"/>
      <c r="H731" s="16"/>
      <c r="I731" s="2"/>
      <c r="J731" s="14"/>
    </row>
    <row r="732" spans="4:10" ht="14.25" customHeight="1" x14ac:dyDescent="0.3">
      <c r="D732" s="19"/>
      <c r="H732" s="16"/>
      <c r="I732" s="2"/>
      <c r="J732" s="14"/>
    </row>
    <row r="733" spans="4:10" ht="14.25" customHeight="1" x14ac:dyDescent="0.3">
      <c r="D733" s="19"/>
      <c r="H733" s="16"/>
      <c r="I733" s="2"/>
      <c r="J733" s="14"/>
    </row>
    <row r="734" spans="4:10" ht="14.25" customHeight="1" x14ac:dyDescent="0.3">
      <c r="D734" s="19"/>
      <c r="H734" s="16"/>
      <c r="I734" s="2"/>
      <c r="J734" s="14"/>
    </row>
    <row r="735" spans="4:10" ht="14.25" customHeight="1" x14ac:dyDescent="0.3">
      <c r="D735" s="19"/>
      <c r="H735" s="16"/>
      <c r="I735" s="2"/>
      <c r="J735" s="14"/>
    </row>
    <row r="736" spans="4:10" ht="14.25" customHeight="1" x14ac:dyDescent="0.3">
      <c r="D736" s="19"/>
      <c r="H736" s="16"/>
      <c r="I736" s="2"/>
      <c r="J736" s="14"/>
    </row>
    <row r="737" spans="4:10" ht="14.25" customHeight="1" x14ac:dyDescent="0.3">
      <c r="D737" s="19"/>
      <c r="H737" s="16"/>
      <c r="I737" s="2"/>
      <c r="J737" s="14"/>
    </row>
    <row r="738" spans="4:10" ht="14.25" customHeight="1" x14ac:dyDescent="0.3">
      <c r="D738" s="19"/>
      <c r="H738" s="16"/>
      <c r="I738" s="2"/>
      <c r="J738" s="14"/>
    </row>
    <row r="739" spans="4:10" ht="14.25" customHeight="1" x14ac:dyDescent="0.3">
      <c r="D739" s="19"/>
      <c r="H739" s="16"/>
      <c r="I739" s="2"/>
      <c r="J739" s="14"/>
    </row>
    <row r="740" spans="4:10" ht="14.25" customHeight="1" x14ac:dyDescent="0.3">
      <c r="D740" s="19"/>
      <c r="H740" s="16"/>
      <c r="I740" s="2"/>
      <c r="J740" s="14"/>
    </row>
    <row r="741" spans="4:10" ht="14.25" customHeight="1" x14ac:dyDescent="0.3">
      <c r="D741" s="19"/>
      <c r="H741" s="16"/>
      <c r="I741" s="2"/>
      <c r="J741" s="14"/>
    </row>
    <row r="742" spans="4:10" ht="14.25" customHeight="1" x14ac:dyDescent="0.3">
      <c r="D742" s="19"/>
      <c r="H742" s="16"/>
      <c r="I742" s="2"/>
      <c r="J742" s="14"/>
    </row>
    <row r="743" spans="4:10" ht="14.25" customHeight="1" x14ac:dyDescent="0.3">
      <c r="D743" s="19"/>
      <c r="H743" s="16"/>
      <c r="I743" s="2"/>
      <c r="J743" s="14"/>
    </row>
    <row r="744" spans="4:10" ht="14.25" customHeight="1" x14ac:dyDescent="0.3">
      <c r="D744" s="19"/>
      <c r="H744" s="16"/>
      <c r="I744" s="2"/>
      <c r="J744" s="14"/>
    </row>
    <row r="745" spans="4:10" ht="14.25" customHeight="1" x14ac:dyDescent="0.3">
      <c r="D745" s="19"/>
      <c r="H745" s="16"/>
      <c r="I745" s="2"/>
      <c r="J745" s="14"/>
    </row>
    <row r="746" spans="4:10" ht="14.25" customHeight="1" x14ac:dyDescent="0.3">
      <c r="D746" s="19"/>
      <c r="H746" s="16"/>
      <c r="I746" s="2"/>
      <c r="J746" s="14"/>
    </row>
    <row r="747" spans="4:10" ht="14.25" customHeight="1" x14ac:dyDescent="0.3">
      <c r="D747" s="19"/>
      <c r="H747" s="16"/>
      <c r="I747" s="2"/>
      <c r="J747" s="14"/>
    </row>
    <row r="748" spans="4:10" ht="14.25" customHeight="1" x14ac:dyDescent="0.3">
      <c r="D748" s="19"/>
      <c r="H748" s="16"/>
      <c r="I748" s="2"/>
      <c r="J748" s="14"/>
    </row>
    <row r="749" spans="4:10" ht="14.25" customHeight="1" x14ac:dyDescent="0.3">
      <c r="D749" s="19"/>
      <c r="H749" s="16"/>
      <c r="I749" s="2"/>
      <c r="J749" s="14"/>
    </row>
    <row r="750" spans="4:10" ht="14.25" customHeight="1" x14ac:dyDescent="0.3">
      <c r="D750" s="19"/>
      <c r="H750" s="16"/>
      <c r="I750" s="2"/>
      <c r="J750" s="14"/>
    </row>
    <row r="751" spans="4:10" ht="14.25" customHeight="1" x14ac:dyDescent="0.3">
      <c r="D751" s="19"/>
      <c r="H751" s="16"/>
      <c r="I751" s="2"/>
      <c r="J751" s="14"/>
    </row>
    <row r="752" spans="4:10" ht="14.25" customHeight="1" x14ac:dyDescent="0.3">
      <c r="D752" s="19"/>
      <c r="H752" s="16"/>
      <c r="I752" s="2"/>
      <c r="J752" s="14"/>
    </row>
    <row r="753" spans="4:10" ht="14.25" customHeight="1" x14ac:dyDescent="0.3">
      <c r="D753" s="19"/>
      <c r="H753" s="16"/>
      <c r="I753" s="2"/>
      <c r="J753" s="14"/>
    </row>
    <row r="754" spans="4:10" ht="14.25" customHeight="1" x14ac:dyDescent="0.3">
      <c r="D754" s="19"/>
      <c r="H754" s="16"/>
      <c r="I754" s="2"/>
      <c r="J754" s="14"/>
    </row>
    <row r="755" spans="4:10" ht="14.25" customHeight="1" x14ac:dyDescent="0.3">
      <c r="D755" s="19"/>
      <c r="H755" s="16"/>
      <c r="I755" s="2"/>
      <c r="J755" s="14"/>
    </row>
    <row r="756" spans="4:10" ht="14.25" customHeight="1" x14ac:dyDescent="0.3">
      <c r="D756" s="19"/>
      <c r="H756" s="16"/>
      <c r="I756" s="2"/>
      <c r="J756" s="14"/>
    </row>
    <row r="757" spans="4:10" ht="14.25" customHeight="1" x14ac:dyDescent="0.3">
      <c r="D757" s="19"/>
      <c r="H757" s="16"/>
      <c r="I757" s="2"/>
      <c r="J757" s="14"/>
    </row>
    <row r="758" spans="4:10" ht="14.25" customHeight="1" x14ac:dyDescent="0.3">
      <c r="D758" s="19"/>
      <c r="H758" s="16"/>
      <c r="I758" s="2"/>
      <c r="J758" s="14"/>
    </row>
    <row r="759" spans="4:10" ht="14.25" customHeight="1" x14ac:dyDescent="0.3">
      <c r="D759" s="19"/>
      <c r="H759" s="16"/>
      <c r="I759" s="2"/>
      <c r="J759" s="14"/>
    </row>
    <row r="760" spans="4:10" ht="14.25" customHeight="1" x14ac:dyDescent="0.3">
      <c r="D760" s="19"/>
      <c r="H760" s="16"/>
      <c r="I760" s="2"/>
      <c r="J760" s="14"/>
    </row>
    <row r="761" spans="4:10" ht="14.25" customHeight="1" x14ac:dyDescent="0.3">
      <c r="D761" s="19"/>
      <c r="H761" s="16"/>
      <c r="I761" s="2"/>
      <c r="J761" s="14"/>
    </row>
    <row r="762" spans="4:10" ht="14.25" customHeight="1" x14ac:dyDescent="0.3">
      <c r="D762" s="19"/>
      <c r="H762" s="16"/>
      <c r="I762" s="2"/>
      <c r="J762" s="14"/>
    </row>
    <row r="763" spans="4:10" ht="14.25" customHeight="1" x14ac:dyDescent="0.3">
      <c r="D763" s="19"/>
      <c r="H763" s="16"/>
      <c r="I763" s="2"/>
      <c r="J763" s="14"/>
    </row>
    <row r="764" spans="4:10" ht="14.25" customHeight="1" x14ac:dyDescent="0.3">
      <c r="D764" s="19"/>
      <c r="H764" s="16"/>
      <c r="I764" s="2"/>
      <c r="J764" s="14"/>
    </row>
    <row r="765" spans="4:10" ht="14.25" customHeight="1" x14ac:dyDescent="0.3">
      <c r="D765" s="19"/>
      <c r="H765" s="16"/>
      <c r="I765" s="2"/>
      <c r="J765" s="14"/>
    </row>
    <row r="766" spans="4:10" ht="14.25" customHeight="1" x14ac:dyDescent="0.3">
      <c r="D766" s="19"/>
      <c r="H766" s="16"/>
      <c r="I766" s="2"/>
      <c r="J766" s="14"/>
    </row>
    <row r="767" spans="4:10" ht="14.25" customHeight="1" x14ac:dyDescent="0.3">
      <c r="D767" s="19"/>
      <c r="H767" s="16"/>
      <c r="I767" s="2"/>
      <c r="J767" s="14"/>
    </row>
    <row r="768" spans="4:10" ht="14.25" customHeight="1" x14ac:dyDescent="0.3">
      <c r="D768" s="19"/>
      <c r="H768" s="16"/>
      <c r="I768" s="2"/>
      <c r="J768" s="14"/>
    </row>
    <row r="769" spans="4:10" ht="14.25" customHeight="1" x14ac:dyDescent="0.3">
      <c r="D769" s="19"/>
      <c r="H769" s="16"/>
      <c r="I769" s="2"/>
      <c r="J769" s="14"/>
    </row>
    <row r="770" spans="4:10" ht="14.25" customHeight="1" x14ac:dyDescent="0.3">
      <c r="D770" s="19"/>
      <c r="H770" s="16"/>
      <c r="I770" s="2"/>
      <c r="J770" s="14"/>
    </row>
    <row r="771" spans="4:10" ht="14.25" customHeight="1" x14ac:dyDescent="0.3">
      <c r="D771" s="19"/>
      <c r="H771" s="16"/>
      <c r="I771" s="2"/>
      <c r="J771" s="14"/>
    </row>
    <row r="772" spans="4:10" ht="14.25" customHeight="1" x14ac:dyDescent="0.3">
      <c r="D772" s="19"/>
      <c r="H772" s="16"/>
      <c r="I772" s="2"/>
      <c r="J772" s="14"/>
    </row>
    <row r="773" spans="4:10" ht="14.25" customHeight="1" x14ac:dyDescent="0.3">
      <c r="D773" s="19"/>
      <c r="H773" s="16"/>
      <c r="I773" s="2"/>
      <c r="J773" s="14"/>
    </row>
    <row r="774" spans="4:10" ht="14.25" customHeight="1" x14ac:dyDescent="0.3">
      <c r="D774" s="19"/>
      <c r="H774" s="16"/>
      <c r="I774" s="2"/>
      <c r="J774" s="14"/>
    </row>
    <row r="775" spans="4:10" ht="14.25" customHeight="1" x14ac:dyDescent="0.3">
      <c r="D775" s="19"/>
      <c r="H775" s="16"/>
      <c r="I775" s="2"/>
      <c r="J775" s="14"/>
    </row>
    <row r="776" spans="4:10" ht="14.25" customHeight="1" x14ac:dyDescent="0.3">
      <c r="D776" s="19"/>
      <c r="H776" s="16"/>
      <c r="I776" s="2"/>
      <c r="J776" s="14"/>
    </row>
    <row r="777" spans="4:10" ht="14.25" customHeight="1" x14ac:dyDescent="0.3">
      <c r="D777" s="19"/>
      <c r="H777" s="16"/>
      <c r="I777" s="2"/>
      <c r="J777" s="14"/>
    </row>
    <row r="778" spans="4:10" ht="14.25" customHeight="1" x14ac:dyDescent="0.3">
      <c r="D778" s="19"/>
      <c r="H778" s="16"/>
      <c r="I778" s="2"/>
      <c r="J778" s="14"/>
    </row>
    <row r="779" spans="4:10" ht="14.25" customHeight="1" x14ac:dyDescent="0.3">
      <c r="D779" s="19"/>
      <c r="H779" s="16"/>
      <c r="I779" s="2"/>
      <c r="J779" s="14"/>
    </row>
    <row r="780" spans="4:10" ht="14.25" customHeight="1" x14ac:dyDescent="0.3">
      <c r="D780" s="19"/>
      <c r="H780" s="16"/>
      <c r="I780" s="2"/>
      <c r="J780" s="14"/>
    </row>
    <row r="781" spans="4:10" ht="14.25" customHeight="1" x14ac:dyDescent="0.3">
      <c r="D781" s="19"/>
      <c r="H781" s="16"/>
      <c r="I781" s="2"/>
      <c r="J781" s="14"/>
    </row>
    <row r="782" spans="4:10" ht="14.25" customHeight="1" x14ac:dyDescent="0.3">
      <c r="D782" s="19"/>
      <c r="H782" s="16"/>
      <c r="I782" s="2"/>
      <c r="J782" s="14"/>
    </row>
    <row r="783" spans="4:10" ht="14.25" customHeight="1" x14ac:dyDescent="0.3">
      <c r="D783" s="19"/>
      <c r="H783" s="16"/>
      <c r="I783" s="2"/>
      <c r="J783" s="14"/>
    </row>
    <row r="784" spans="4:10" ht="14.25" customHeight="1" x14ac:dyDescent="0.3">
      <c r="D784" s="19"/>
      <c r="H784" s="16"/>
      <c r="I784" s="2"/>
      <c r="J784" s="14"/>
    </row>
    <row r="785" spans="4:10" ht="14.25" customHeight="1" x14ac:dyDescent="0.3">
      <c r="D785" s="19"/>
      <c r="H785" s="16"/>
      <c r="I785" s="2"/>
      <c r="J785" s="14"/>
    </row>
    <row r="786" spans="4:10" ht="14.25" customHeight="1" x14ac:dyDescent="0.3">
      <c r="D786" s="19"/>
      <c r="H786" s="16"/>
      <c r="I786" s="2"/>
      <c r="J786" s="14"/>
    </row>
    <row r="787" spans="4:10" ht="14.25" customHeight="1" x14ac:dyDescent="0.3">
      <c r="D787" s="19"/>
      <c r="H787" s="16"/>
      <c r="I787" s="2"/>
      <c r="J787" s="14"/>
    </row>
    <row r="788" spans="4:10" ht="14.25" customHeight="1" x14ac:dyDescent="0.3">
      <c r="D788" s="19"/>
      <c r="H788" s="16"/>
      <c r="I788" s="2"/>
      <c r="J788" s="14"/>
    </row>
    <row r="789" spans="4:10" ht="14.25" customHeight="1" x14ac:dyDescent="0.3">
      <c r="D789" s="19"/>
      <c r="H789" s="16"/>
      <c r="I789" s="2"/>
      <c r="J789" s="14"/>
    </row>
    <row r="790" spans="4:10" ht="14.25" customHeight="1" x14ac:dyDescent="0.3">
      <c r="D790" s="19"/>
      <c r="H790" s="16"/>
      <c r="I790" s="2"/>
      <c r="J790" s="14"/>
    </row>
    <row r="791" spans="4:10" ht="14.25" customHeight="1" x14ac:dyDescent="0.3">
      <c r="D791" s="19"/>
      <c r="H791" s="16"/>
      <c r="I791" s="2"/>
      <c r="J791" s="14"/>
    </row>
    <row r="792" spans="4:10" ht="14.25" customHeight="1" x14ac:dyDescent="0.3">
      <c r="D792" s="19"/>
      <c r="H792" s="16"/>
      <c r="I792" s="2"/>
      <c r="J792" s="14"/>
    </row>
    <row r="793" spans="4:10" ht="14.25" customHeight="1" x14ac:dyDescent="0.3">
      <c r="D793" s="19"/>
      <c r="H793" s="16"/>
      <c r="I793" s="2"/>
      <c r="J793" s="14"/>
    </row>
    <row r="794" spans="4:10" ht="14.25" customHeight="1" x14ac:dyDescent="0.3">
      <c r="D794" s="19"/>
      <c r="H794" s="16"/>
      <c r="I794" s="2"/>
      <c r="J794" s="14"/>
    </row>
    <row r="795" spans="4:10" ht="14.25" customHeight="1" x14ac:dyDescent="0.3">
      <c r="D795" s="19"/>
      <c r="H795" s="16"/>
      <c r="I795" s="2"/>
      <c r="J795" s="14"/>
    </row>
    <row r="796" spans="4:10" ht="14.25" customHeight="1" x14ac:dyDescent="0.3">
      <c r="D796" s="19"/>
      <c r="H796" s="16"/>
      <c r="I796" s="2"/>
      <c r="J796" s="14"/>
    </row>
    <row r="797" spans="4:10" ht="14.25" customHeight="1" x14ac:dyDescent="0.3">
      <c r="D797" s="19"/>
      <c r="H797" s="16"/>
      <c r="I797" s="2"/>
      <c r="J797" s="14"/>
    </row>
    <row r="798" spans="4:10" ht="14.25" customHeight="1" x14ac:dyDescent="0.3">
      <c r="D798" s="19"/>
      <c r="H798" s="16"/>
      <c r="I798" s="2"/>
      <c r="J798" s="14"/>
    </row>
    <row r="799" spans="4:10" ht="14.25" customHeight="1" x14ac:dyDescent="0.3">
      <c r="D799" s="19"/>
      <c r="H799" s="16"/>
      <c r="I799" s="2"/>
      <c r="J799" s="14"/>
    </row>
    <row r="800" spans="4:10" ht="14.25" customHeight="1" x14ac:dyDescent="0.3">
      <c r="D800" s="19"/>
      <c r="H800" s="16"/>
      <c r="I800" s="2"/>
      <c r="J800" s="14"/>
    </row>
    <row r="801" spans="4:10" ht="14.25" customHeight="1" x14ac:dyDescent="0.3">
      <c r="D801" s="19"/>
      <c r="H801" s="16"/>
      <c r="I801" s="2"/>
      <c r="J801" s="14"/>
    </row>
    <row r="802" spans="4:10" ht="14.25" customHeight="1" x14ac:dyDescent="0.3">
      <c r="D802" s="19"/>
      <c r="H802" s="16"/>
      <c r="I802" s="2"/>
      <c r="J802" s="14"/>
    </row>
    <row r="803" spans="4:10" ht="14.25" customHeight="1" x14ac:dyDescent="0.3">
      <c r="D803" s="19"/>
      <c r="H803" s="16"/>
      <c r="I803" s="2"/>
      <c r="J803" s="14"/>
    </row>
    <row r="804" spans="4:10" ht="14.25" customHeight="1" x14ac:dyDescent="0.3">
      <c r="D804" s="19"/>
      <c r="H804" s="16"/>
      <c r="I804" s="2"/>
      <c r="J804" s="14"/>
    </row>
    <row r="805" spans="4:10" ht="14.25" customHeight="1" x14ac:dyDescent="0.3">
      <c r="D805" s="19"/>
      <c r="H805" s="16"/>
      <c r="I805" s="2"/>
      <c r="J805" s="14"/>
    </row>
    <row r="806" spans="4:10" ht="14.25" customHeight="1" x14ac:dyDescent="0.3">
      <c r="D806" s="19"/>
      <c r="H806" s="16"/>
      <c r="I806" s="2"/>
      <c r="J806" s="14"/>
    </row>
    <row r="807" spans="4:10" ht="14.25" customHeight="1" x14ac:dyDescent="0.3">
      <c r="D807" s="19"/>
      <c r="H807" s="16"/>
      <c r="I807" s="2"/>
      <c r="J807" s="14"/>
    </row>
    <row r="808" spans="4:10" ht="14.25" customHeight="1" x14ac:dyDescent="0.3">
      <c r="D808" s="19"/>
      <c r="H808" s="16"/>
      <c r="I808" s="2"/>
      <c r="J808" s="14"/>
    </row>
    <row r="809" spans="4:10" ht="14.25" customHeight="1" x14ac:dyDescent="0.3">
      <c r="D809" s="19"/>
      <c r="H809" s="16"/>
      <c r="I809" s="2"/>
      <c r="J809" s="14"/>
    </row>
    <row r="810" spans="4:10" ht="14.25" customHeight="1" x14ac:dyDescent="0.3">
      <c r="D810" s="19"/>
      <c r="H810" s="16"/>
      <c r="I810" s="2"/>
      <c r="J810" s="14"/>
    </row>
    <row r="811" spans="4:10" ht="14.25" customHeight="1" x14ac:dyDescent="0.3">
      <c r="D811" s="19"/>
      <c r="H811" s="16"/>
      <c r="I811" s="2"/>
      <c r="J811" s="14"/>
    </row>
    <row r="812" spans="4:10" ht="14.25" customHeight="1" x14ac:dyDescent="0.3">
      <c r="D812" s="19"/>
      <c r="H812" s="16"/>
      <c r="I812" s="2"/>
      <c r="J812" s="14"/>
    </row>
    <row r="813" spans="4:10" ht="14.25" customHeight="1" x14ac:dyDescent="0.3">
      <c r="D813" s="19"/>
      <c r="H813" s="16"/>
      <c r="I813" s="2"/>
      <c r="J813" s="14"/>
    </row>
    <row r="814" spans="4:10" ht="14.25" customHeight="1" x14ac:dyDescent="0.3">
      <c r="D814" s="19"/>
      <c r="H814" s="16"/>
      <c r="I814" s="2"/>
      <c r="J814" s="14"/>
    </row>
    <row r="815" spans="4:10" ht="14.25" customHeight="1" x14ac:dyDescent="0.3">
      <c r="D815" s="19"/>
      <c r="H815" s="16"/>
      <c r="I815" s="2"/>
      <c r="J815" s="14"/>
    </row>
    <row r="816" spans="4:10" ht="14.25" customHeight="1" x14ac:dyDescent="0.3">
      <c r="D816" s="19"/>
      <c r="H816" s="16"/>
      <c r="I816" s="2"/>
      <c r="J816" s="14"/>
    </row>
    <row r="817" spans="4:10" ht="14.25" customHeight="1" x14ac:dyDescent="0.3">
      <c r="D817" s="19"/>
      <c r="H817" s="16"/>
      <c r="I817" s="2"/>
      <c r="J817" s="14"/>
    </row>
    <row r="818" spans="4:10" ht="14.25" customHeight="1" x14ac:dyDescent="0.3">
      <c r="D818" s="19"/>
      <c r="H818" s="16"/>
      <c r="I818" s="2"/>
      <c r="J818" s="14"/>
    </row>
    <row r="819" spans="4:10" ht="14.25" customHeight="1" x14ac:dyDescent="0.3">
      <c r="D819" s="19"/>
      <c r="H819" s="16"/>
      <c r="I819" s="2"/>
      <c r="J819" s="14"/>
    </row>
    <row r="820" spans="4:10" ht="14.25" customHeight="1" x14ac:dyDescent="0.3">
      <c r="D820" s="19"/>
      <c r="H820" s="16"/>
      <c r="I820" s="2"/>
      <c r="J820" s="14"/>
    </row>
    <row r="821" spans="4:10" ht="14.25" customHeight="1" x14ac:dyDescent="0.3">
      <c r="D821" s="19"/>
      <c r="H821" s="16"/>
      <c r="I821" s="2"/>
      <c r="J821" s="14"/>
    </row>
    <row r="822" spans="4:10" ht="14.25" customHeight="1" x14ac:dyDescent="0.3">
      <c r="D822" s="19"/>
      <c r="H822" s="16"/>
      <c r="I822" s="2"/>
      <c r="J822" s="14"/>
    </row>
    <row r="823" spans="4:10" ht="14.25" customHeight="1" x14ac:dyDescent="0.3">
      <c r="D823" s="19"/>
      <c r="H823" s="16"/>
      <c r="I823" s="2"/>
      <c r="J823" s="14"/>
    </row>
    <row r="824" spans="4:10" ht="14.25" customHeight="1" x14ac:dyDescent="0.3">
      <c r="D824" s="19"/>
      <c r="H824" s="16"/>
      <c r="I824" s="2"/>
      <c r="J824" s="14"/>
    </row>
    <row r="825" spans="4:10" ht="14.25" customHeight="1" x14ac:dyDescent="0.3">
      <c r="D825" s="19"/>
      <c r="H825" s="16"/>
      <c r="I825" s="2"/>
      <c r="J825" s="14"/>
    </row>
    <row r="826" spans="4:10" ht="14.25" customHeight="1" x14ac:dyDescent="0.3">
      <c r="D826" s="19"/>
      <c r="H826" s="16"/>
      <c r="I826" s="2"/>
      <c r="J826" s="14"/>
    </row>
    <row r="827" spans="4:10" ht="14.25" customHeight="1" x14ac:dyDescent="0.3">
      <c r="D827" s="19"/>
      <c r="H827" s="16"/>
      <c r="I827" s="2"/>
      <c r="J827" s="14"/>
    </row>
    <row r="828" spans="4:10" ht="14.25" customHeight="1" x14ac:dyDescent="0.3">
      <c r="D828" s="19"/>
      <c r="H828" s="16"/>
      <c r="I828" s="2"/>
      <c r="J828" s="14"/>
    </row>
    <row r="829" spans="4:10" ht="14.25" customHeight="1" x14ac:dyDescent="0.3">
      <c r="D829" s="19"/>
      <c r="H829" s="16"/>
      <c r="I829" s="2"/>
      <c r="J829" s="14"/>
    </row>
    <row r="830" spans="4:10" ht="14.25" customHeight="1" x14ac:dyDescent="0.3">
      <c r="D830" s="19"/>
      <c r="H830" s="16"/>
      <c r="I830" s="2"/>
      <c r="J830" s="14"/>
    </row>
    <row r="831" spans="4:10" ht="14.25" customHeight="1" x14ac:dyDescent="0.3">
      <c r="D831" s="19"/>
      <c r="H831" s="16"/>
      <c r="I831" s="2"/>
      <c r="J831" s="14"/>
    </row>
    <row r="832" spans="4:10" ht="14.25" customHeight="1" x14ac:dyDescent="0.3">
      <c r="D832" s="19"/>
      <c r="H832" s="16"/>
      <c r="I832" s="2"/>
      <c r="J832" s="14"/>
    </row>
    <row r="833" spans="4:10" ht="14.25" customHeight="1" x14ac:dyDescent="0.3">
      <c r="D833" s="19"/>
      <c r="H833" s="16"/>
      <c r="I833" s="2"/>
      <c r="J833" s="14"/>
    </row>
    <row r="834" spans="4:10" ht="14.25" customHeight="1" x14ac:dyDescent="0.3">
      <c r="D834" s="19"/>
      <c r="H834" s="16"/>
      <c r="I834" s="2"/>
      <c r="J834" s="14"/>
    </row>
    <row r="835" spans="4:10" ht="14.25" customHeight="1" x14ac:dyDescent="0.3">
      <c r="D835" s="19"/>
      <c r="H835" s="16"/>
      <c r="I835" s="2"/>
      <c r="J835" s="14"/>
    </row>
    <row r="836" spans="4:10" ht="14.25" customHeight="1" x14ac:dyDescent="0.3">
      <c r="D836" s="19"/>
      <c r="H836" s="16"/>
      <c r="I836" s="2"/>
      <c r="J836" s="14"/>
    </row>
    <row r="837" spans="4:10" ht="14.25" customHeight="1" x14ac:dyDescent="0.3">
      <c r="D837" s="19"/>
      <c r="H837" s="16"/>
      <c r="I837" s="2"/>
      <c r="J837" s="14"/>
    </row>
    <row r="838" spans="4:10" ht="14.25" customHeight="1" x14ac:dyDescent="0.3">
      <c r="D838" s="19"/>
      <c r="H838" s="16"/>
      <c r="I838" s="2"/>
      <c r="J838" s="14"/>
    </row>
    <row r="839" spans="4:10" ht="14.25" customHeight="1" x14ac:dyDescent="0.3">
      <c r="D839" s="19"/>
      <c r="H839" s="16"/>
      <c r="I839" s="2"/>
      <c r="J839" s="14"/>
    </row>
    <row r="840" spans="4:10" ht="14.25" customHeight="1" x14ac:dyDescent="0.3">
      <c r="D840" s="19"/>
      <c r="H840" s="16"/>
      <c r="I840" s="2"/>
      <c r="J840" s="14"/>
    </row>
    <row r="841" spans="4:10" ht="14.25" customHeight="1" x14ac:dyDescent="0.3">
      <c r="D841" s="19"/>
      <c r="H841" s="16"/>
      <c r="I841" s="2"/>
      <c r="J841" s="14"/>
    </row>
    <row r="842" spans="4:10" ht="14.25" customHeight="1" x14ac:dyDescent="0.3">
      <c r="D842" s="19"/>
      <c r="H842" s="16"/>
      <c r="I842" s="2"/>
      <c r="J842" s="14"/>
    </row>
    <row r="843" spans="4:10" ht="14.25" customHeight="1" x14ac:dyDescent="0.3">
      <c r="D843" s="19"/>
      <c r="H843" s="16"/>
      <c r="I843" s="2"/>
      <c r="J843" s="14"/>
    </row>
    <row r="844" spans="4:10" ht="14.25" customHeight="1" x14ac:dyDescent="0.3">
      <c r="D844" s="19"/>
      <c r="H844" s="16"/>
      <c r="I844" s="2"/>
      <c r="J844" s="14"/>
    </row>
    <row r="845" spans="4:10" ht="14.25" customHeight="1" x14ac:dyDescent="0.3">
      <c r="D845" s="19"/>
      <c r="H845" s="16"/>
      <c r="I845" s="2"/>
      <c r="J845" s="14"/>
    </row>
    <row r="846" spans="4:10" ht="14.25" customHeight="1" x14ac:dyDescent="0.3">
      <c r="D846" s="19"/>
      <c r="H846" s="16"/>
      <c r="I846" s="2"/>
      <c r="J846" s="14"/>
    </row>
    <row r="847" spans="4:10" ht="14.25" customHeight="1" x14ac:dyDescent="0.3">
      <c r="D847" s="19"/>
      <c r="H847" s="16"/>
      <c r="I847" s="2"/>
      <c r="J847" s="14"/>
    </row>
    <row r="848" spans="4:10" ht="14.25" customHeight="1" x14ac:dyDescent="0.3">
      <c r="D848" s="19"/>
      <c r="H848" s="16"/>
      <c r="I848" s="2"/>
      <c r="J848" s="14"/>
    </row>
    <row r="849" spans="4:10" ht="14.25" customHeight="1" x14ac:dyDescent="0.3">
      <c r="D849" s="19"/>
      <c r="H849" s="16"/>
      <c r="I849" s="2"/>
      <c r="J849" s="14"/>
    </row>
    <row r="850" spans="4:10" ht="14.25" customHeight="1" x14ac:dyDescent="0.3">
      <c r="D850" s="19"/>
      <c r="H850" s="16"/>
      <c r="I850" s="2"/>
      <c r="J850" s="14"/>
    </row>
    <row r="851" spans="4:10" ht="14.25" customHeight="1" x14ac:dyDescent="0.3">
      <c r="D851" s="19"/>
      <c r="H851" s="16"/>
      <c r="I851" s="2"/>
      <c r="J851" s="14"/>
    </row>
    <row r="852" spans="4:10" ht="14.25" customHeight="1" x14ac:dyDescent="0.3">
      <c r="D852" s="19"/>
      <c r="H852" s="16"/>
      <c r="I852" s="2"/>
      <c r="J852" s="14"/>
    </row>
    <row r="853" spans="4:10" ht="14.25" customHeight="1" x14ac:dyDescent="0.3">
      <c r="D853" s="19"/>
      <c r="H853" s="16"/>
      <c r="I853" s="2"/>
      <c r="J853" s="14"/>
    </row>
    <row r="854" spans="4:10" ht="14.25" customHeight="1" x14ac:dyDescent="0.3">
      <c r="D854" s="19"/>
      <c r="H854" s="16"/>
      <c r="I854" s="2"/>
      <c r="J854" s="14"/>
    </row>
    <row r="855" spans="4:10" ht="14.25" customHeight="1" x14ac:dyDescent="0.3">
      <c r="D855" s="19"/>
      <c r="H855" s="16"/>
      <c r="I855" s="2"/>
      <c r="J855" s="14"/>
    </row>
    <row r="856" spans="4:10" ht="14.25" customHeight="1" x14ac:dyDescent="0.3">
      <c r="D856" s="19"/>
      <c r="H856" s="16"/>
      <c r="I856" s="2"/>
      <c r="J856" s="14"/>
    </row>
    <row r="857" spans="4:10" ht="14.25" customHeight="1" x14ac:dyDescent="0.3">
      <c r="D857" s="19"/>
      <c r="H857" s="16"/>
      <c r="I857" s="2"/>
      <c r="J857" s="14"/>
    </row>
    <row r="858" spans="4:10" ht="14.25" customHeight="1" x14ac:dyDescent="0.3">
      <c r="D858" s="19"/>
      <c r="H858" s="16"/>
      <c r="I858" s="2"/>
      <c r="J858" s="14"/>
    </row>
    <row r="859" spans="4:10" ht="14.25" customHeight="1" x14ac:dyDescent="0.3">
      <c r="D859" s="19"/>
      <c r="H859" s="16"/>
      <c r="I859" s="2"/>
      <c r="J859" s="14"/>
    </row>
    <row r="860" spans="4:10" ht="14.25" customHeight="1" x14ac:dyDescent="0.3">
      <c r="D860" s="19"/>
      <c r="H860" s="16"/>
      <c r="I860" s="2"/>
      <c r="J860" s="14"/>
    </row>
    <row r="861" spans="4:10" ht="14.25" customHeight="1" x14ac:dyDescent="0.3">
      <c r="D861" s="19"/>
      <c r="H861" s="16"/>
      <c r="I861" s="2"/>
      <c r="J861" s="14"/>
    </row>
    <row r="862" spans="4:10" ht="14.25" customHeight="1" x14ac:dyDescent="0.3">
      <c r="D862" s="19"/>
      <c r="H862" s="16"/>
      <c r="I862" s="2"/>
      <c r="J862" s="14"/>
    </row>
    <row r="863" spans="4:10" ht="14.25" customHeight="1" x14ac:dyDescent="0.3">
      <c r="D863" s="19"/>
      <c r="H863" s="16"/>
      <c r="I863" s="2"/>
      <c r="J863" s="14"/>
    </row>
    <row r="864" spans="4:10" ht="14.25" customHeight="1" x14ac:dyDescent="0.3">
      <c r="D864" s="19"/>
      <c r="H864" s="16"/>
      <c r="I864" s="2"/>
      <c r="J864" s="14"/>
    </row>
    <row r="865" spans="4:10" ht="14.25" customHeight="1" x14ac:dyDescent="0.3">
      <c r="D865" s="19"/>
      <c r="H865" s="16"/>
      <c r="I865" s="2"/>
      <c r="J865" s="14"/>
    </row>
    <row r="866" spans="4:10" ht="14.25" customHeight="1" x14ac:dyDescent="0.3">
      <c r="D866" s="19"/>
      <c r="H866" s="16"/>
      <c r="I866" s="2"/>
      <c r="J866" s="14"/>
    </row>
    <row r="867" spans="4:10" ht="14.25" customHeight="1" x14ac:dyDescent="0.3">
      <c r="D867" s="19"/>
      <c r="H867" s="16"/>
      <c r="I867" s="2"/>
      <c r="J867" s="14"/>
    </row>
    <row r="868" spans="4:10" ht="14.25" customHeight="1" x14ac:dyDescent="0.3">
      <c r="D868" s="19"/>
      <c r="H868" s="16"/>
      <c r="I868" s="2"/>
      <c r="J868" s="14"/>
    </row>
    <row r="869" spans="4:10" ht="14.25" customHeight="1" x14ac:dyDescent="0.3">
      <c r="D869" s="19"/>
      <c r="H869" s="16"/>
      <c r="I869" s="2"/>
      <c r="J869" s="14"/>
    </row>
    <row r="870" spans="4:10" ht="14.25" customHeight="1" x14ac:dyDescent="0.3">
      <c r="D870" s="19"/>
      <c r="H870" s="16"/>
      <c r="I870" s="2"/>
      <c r="J870" s="14"/>
    </row>
    <row r="871" spans="4:10" ht="14.25" customHeight="1" x14ac:dyDescent="0.3">
      <c r="D871" s="19"/>
      <c r="H871" s="16"/>
      <c r="I871" s="2"/>
      <c r="J871" s="14"/>
    </row>
    <row r="872" spans="4:10" ht="14.25" customHeight="1" x14ac:dyDescent="0.3">
      <c r="D872" s="19"/>
      <c r="H872" s="16"/>
      <c r="I872" s="2"/>
      <c r="J872" s="14"/>
    </row>
    <row r="873" spans="4:10" ht="14.25" customHeight="1" x14ac:dyDescent="0.3">
      <c r="D873" s="19"/>
      <c r="H873" s="16"/>
      <c r="I873" s="2"/>
      <c r="J873" s="14"/>
    </row>
    <row r="874" spans="4:10" ht="14.25" customHeight="1" x14ac:dyDescent="0.3">
      <c r="D874" s="19"/>
      <c r="H874" s="16"/>
      <c r="I874" s="2"/>
      <c r="J874" s="14"/>
    </row>
    <row r="875" spans="4:10" ht="14.25" customHeight="1" x14ac:dyDescent="0.3">
      <c r="D875" s="19"/>
      <c r="H875" s="16"/>
      <c r="I875" s="2"/>
      <c r="J875" s="14"/>
    </row>
    <row r="876" spans="4:10" ht="14.25" customHeight="1" x14ac:dyDescent="0.3">
      <c r="D876" s="19"/>
      <c r="H876" s="16"/>
      <c r="I876" s="2"/>
      <c r="J876" s="14"/>
    </row>
    <row r="877" spans="4:10" ht="14.25" customHeight="1" x14ac:dyDescent="0.3">
      <c r="D877" s="19"/>
      <c r="H877" s="16"/>
      <c r="I877" s="2"/>
      <c r="J877" s="14"/>
    </row>
    <row r="878" spans="4:10" ht="14.25" customHeight="1" x14ac:dyDescent="0.3">
      <c r="D878" s="19"/>
      <c r="H878" s="16"/>
      <c r="I878" s="2"/>
      <c r="J878" s="14"/>
    </row>
    <row r="879" spans="4:10" ht="14.25" customHeight="1" x14ac:dyDescent="0.3">
      <c r="D879" s="19"/>
      <c r="H879" s="16"/>
      <c r="I879" s="2"/>
      <c r="J879" s="14"/>
    </row>
    <row r="880" spans="4:10" ht="14.25" customHeight="1" x14ac:dyDescent="0.3">
      <c r="D880" s="19"/>
      <c r="H880" s="16"/>
      <c r="I880" s="2"/>
      <c r="J880" s="14"/>
    </row>
    <row r="881" spans="4:10" ht="14.25" customHeight="1" x14ac:dyDescent="0.3">
      <c r="D881" s="19"/>
      <c r="H881" s="16"/>
      <c r="I881" s="2"/>
      <c r="J881" s="14"/>
    </row>
    <row r="882" spans="4:10" ht="14.25" customHeight="1" x14ac:dyDescent="0.3">
      <c r="D882" s="19"/>
      <c r="H882" s="16"/>
      <c r="I882" s="2"/>
      <c r="J882" s="14"/>
    </row>
    <row r="883" spans="4:10" ht="14.25" customHeight="1" x14ac:dyDescent="0.3">
      <c r="D883" s="19"/>
      <c r="H883" s="16"/>
      <c r="I883" s="2"/>
      <c r="J883" s="14"/>
    </row>
    <row r="884" spans="4:10" ht="14.25" customHeight="1" x14ac:dyDescent="0.3">
      <c r="D884" s="19"/>
      <c r="H884" s="16"/>
      <c r="I884" s="2"/>
      <c r="J884" s="14"/>
    </row>
    <row r="885" spans="4:10" ht="14.25" customHeight="1" x14ac:dyDescent="0.3">
      <c r="D885" s="19"/>
      <c r="H885" s="16"/>
      <c r="I885" s="2"/>
      <c r="J885" s="14"/>
    </row>
    <row r="886" spans="4:10" ht="14.25" customHeight="1" x14ac:dyDescent="0.3">
      <c r="D886" s="19"/>
      <c r="H886" s="16"/>
      <c r="I886" s="2"/>
      <c r="J886" s="14"/>
    </row>
    <row r="887" spans="4:10" ht="14.25" customHeight="1" x14ac:dyDescent="0.3">
      <c r="D887" s="19"/>
      <c r="H887" s="16"/>
      <c r="I887" s="2"/>
      <c r="J887" s="14"/>
    </row>
    <row r="888" spans="4:10" ht="14.25" customHeight="1" x14ac:dyDescent="0.3">
      <c r="D888" s="19"/>
      <c r="H888" s="16"/>
      <c r="I888" s="2"/>
      <c r="J888" s="14"/>
    </row>
    <row r="889" spans="4:10" ht="14.25" customHeight="1" x14ac:dyDescent="0.3">
      <c r="D889" s="19"/>
      <c r="H889" s="16"/>
      <c r="I889" s="2"/>
      <c r="J889" s="14"/>
    </row>
    <row r="890" spans="4:10" ht="14.25" customHeight="1" x14ac:dyDescent="0.3">
      <c r="D890" s="19"/>
      <c r="H890" s="16"/>
      <c r="I890" s="2"/>
      <c r="J890" s="14"/>
    </row>
    <row r="891" spans="4:10" ht="14.25" customHeight="1" x14ac:dyDescent="0.3">
      <c r="D891" s="19"/>
      <c r="H891" s="16"/>
      <c r="I891" s="2"/>
      <c r="J891" s="14"/>
    </row>
    <row r="892" spans="4:10" ht="14.25" customHeight="1" x14ac:dyDescent="0.3">
      <c r="D892" s="19"/>
      <c r="H892" s="16"/>
      <c r="I892" s="2"/>
      <c r="J892" s="14"/>
    </row>
    <row r="893" spans="4:10" ht="14.25" customHeight="1" x14ac:dyDescent="0.3">
      <c r="D893" s="19"/>
      <c r="H893" s="16"/>
      <c r="I893" s="2"/>
      <c r="J893" s="14"/>
    </row>
    <row r="894" spans="4:10" ht="14.25" customHeight="1" x14ac:dyDescent="0.3">
      <c r="D894" s="19"/>
      <c r="H894" s="16"/>
      <c r="I894" s="2"/>
      <c r="J894" s="14"/>
    </row>
    <row r="895" spans="4:10" ht="14.25" customHeight="1" x14ac:dyDescent="0.3">
      <c r="D895" s="19"/>
      <c r="H895" s="16"/>
      <c r="I895" s="2"/>
      <c r="J895" s="14"/>
    </row>
    <row r="896" spans="4:10" ht="14.25" customHeight="1" x14ac:dyDescent="0.3">
      <c r="D896" s="19"/>
      <c r="H896" s="16"/>
      <c r="I896" s="2"/>
      <c r="J896" s="14"/>
    </row>
    <row r="897" spans="4:10" ht="14.25" customHeight="1" x14ac:dyDescent="0.3">
      <c r="D897" s="19"/>
      <c r="H897" s="16"/>
      <c r="I897" s="2"/>
      <c r="J897" s="14"/>
    </row>
    <row r="898" spans="4:10" ht="14.25" customHeight="1" x14ac:dyDescent="0.3">
      <c r="D898" s="19"/>
      <c r="H898" s="16"/>
      <c r="I898" s="2"/>
      <c r="J898" s="14"/>
    </row>
    <row r="899" spans="4:10" ht="14.25" customHeight="1" x14ac:dyDescent="0.3">
      <c r="D899" s="19"/>
      <c r="H899" s="16"/>
      <c r="I899" s="2"/>
      <c r="J899" s="14"/>
    </row>
    <row r="900" spans="4:10" ht="14.25" customHeight="1" x14ac:dyDescent="0.3">
      <c r="D900" s="19"/>
      <c r="H900" s="16"/>
      <c r="I900" s="2"/>
      <c r="J900" s="14"/>
    </row>
    <row r="901" spans="4:10" ht="14.25" customHeight="1" x14ac:dyDescent="0.3">
      <c r="D901" s="19"/>
      <c r="H901" s="16"/>
      <c r="I901" s="2"/>
      <c r="J901" s="14"/>
    </row>
    <row r="902" spans="4:10" ht="14.25" customHeight="1" x14ac:dyDescent="0.3">
      <c r="D902" s="19"/>
      <c r="H902" s="16"/>
      <c r="I902" s="2"/>
      <c r="J902" s="14"/>
    </row>
    <row r="903" spans="4:10" ht="14.25" customHeight="1" x14ac:dyDescent="0.3">
      <c r="D903" s="19"/>
      <c r="H903" s="16"/>
      <c r="I903" s="2"/>
      <c r="J903" s="14"/>
    </row>
    <row r="904" spans="4:10" ht="14.25" customHeight="1" x14ac:dyDescent="0.3">
      <c r="D904" s="19"/>
      <c r="H904" s="16"/>
      <c r="I904" s="2"/>
      <c r="J904" s="14"/>
    </row>
    <row r="905" spans="4:10" ht="14.25" customHeight="1" x14ac:dyDescent="0.3">
      <c r="D905" s="19"/>
      <c r="H905" s="16"/>
      <c r="I905" s="2"/>
      <c r="J905" s="14"/>
    </row>
    <row r="906" spans="4:10" ht="14.25" customHeight="1" x14ac:dyDescent="0.3">
      <c r="D906" s="19"/>
      <c r="H906" s="16"/>
      <c r="I906" s="2"/>
      <c r="J906" s="14"/>
    </row>
    <row r="907" spans="4:10" ht="14.25" customHeight="1" x14ac:dyDescent="0.3">
      <c r="D907" s="19"/>
      <c r="H907" s="16"/>
      <c r="I907" s="2"/>
      <c r="J907" s="14"/>
    </row>
    <row r="908" spans="4:10" ht="14.25" customHeight="1" x14ac:dyDescent="0.3">
      <c r="D908" s="19"/>
      <c r="H908" s="16"/>
      <c r="I908" s="2"/>
      <c r="J908" s="14"/>
    </row>
    <row r="909" spans="4:10" ht="14.25" customHeight="1" x14ac:dyDescent="0.3">
      <c r="D909" s="19"/>
      <c r="H909" s="16"/>
      <c r="I909" s="2"/>
      <c r="J909" s="14"/>
    </row>
    <row r="910" spans="4:10" ht="14.25" customHeight="1" x14ac:dyDescent="0.3">
      <c r="D910" s="19"/>
      <c r="H910" s="16"/>
      <c r="I910" s="2"/>
      <c r="J910" s="14"/>
    </row>
    <row r="911" spans="4:10" ht="14.25" customHeight="1" x14ac:dyDescent="0.3">
      <c r="D911" s="19"/>
      <c r="H911" s="16"/>
      <c r="I911" s="2"/>
      <c r="J911" s="14"/>
    </row>
    <row r="912" spans="4:10" ht="14.25" customHeight="1" x14ac:dyDescent="0.3">
      <c r="D912" s="19"/>
      <c r="H912" s="16"/>
      <c r="I912" s="2"/>
      <c r="J912" s="14"/>
    </row>
    <row r="913" spans="4:10" ht="14.25" customHeight="1" x14ac:dyDescent="0.3">
      <c r="D913" s="19"/>
      <c r="H913" s="16"/>
      <c r="I913" s="2"/>
      <c r="J913" s="14"/>
    </row>
    <row r="914" spans="4:10" ht="14.25" customHeight="1" x14ac:dyDescent="0.3">
      <c r="D914" s="19"/>
      <c r="H914" s="16"/>
      <c r="I914" s="2"/>
      <c r="J914" s="14"/>
    </row>
    <row r="915" spans="4:10" ht="14.25" customHeight="1" x14ac:dyDescent="0.3">
      <c r="D915" s="19"/>
      <c r="H915" s="16"/>
      <c r="I915" s="2"/>
      <c r="J915" s="14"/>
    </row>
    <row r="916" spans="4:10" ht="14.25" customHeight="1" x14ac:dyDescent="0.3">
      <c r="D916" s="19"/>
      <c r="H916" s="16"/>
      <c r="I916" s="2"/>
      <c r="J916" s="14"/>
    </row>
    <row r="917" spans="4:10" ht="14.25" customHeight="1" x14ac:dyDescent="0.3">
      <c r="D917" s="19"/>
      <c r="H917" s="16"/>
      <c r="I917" s="2"/>
      <c r="J917" s="14"/>
    </row>
    <row r="918" spans="4:10" ht="14.25" customHeight="1" x14ac:dyDescent="0.3">
      <c r="D918" s="19"/>
      <c r="H918" s="16"/>
      <c r="I918" s="2"/>
      <c r="J918" s="14"/>
    </row>
    <row r="919" spans="4:10" ht="14.25" customHeight="1" x14ac:dyDescent="0.3">
      <c r="D919" s="19"/>
      <c r="H919" s="16"/>
      <c r="I919" s="2"/>
      <c r="J919" s="14"/>
    </row>
    <row r="920" spans="4:10" ht="14.25" customHeight="1" x14ac:dyDescent="0.3">
      <c r="D920" s="19"/>
      <c r="H920" s="16"/>
      <c r="I920" s="2"/>
      <c r="J920" s="14"/>
    </row>
    <row r="921" spans="4:10" ht="14.25" customHeight="1" x14ac:dyDescent="0.3">
      <c r="D921" s="19"/>
      <c r="H921" s="16"/>
      <c r="I921" s="2"/>
      <c r="J921" s="14"/>
    </row>
    <row r="922" spans="4:10" ht="14.25" customHeight="1" x14ac:dyDescent="0.3">
      <c r="D922" s="19"/>
      <c r="H922" s="16"/>
      <c r="I922" s="2"/>
      <c r="J922" s="14"/>
    </row>
    <row r="923" spans="4:10" ht="14.25" customHeight="1" x14ac:dyDescent="0.3">
      <c r="D923" s="19"/>
      <c r="H923" s="16"/>
      <c r="I923" s="2"/>
      <c r="J923" s="14"/>
    </row>
    <row r="924" spans="4:10" ht="14.25" customHeight="1" x14ac:dyDescent="0.3">
      <c r="D924" s="19"/>
      <c r="H924" s="16"/>
      <c r="I924" s="2"/>
      <c r="J924" s="14"/>
    </row>
    <row r="925" spans="4:10" ht="14.25" customHeight="1" x14ac:dyDescent="0.3">
      <c r="D925" s="19"/>
      <c r="H925" s="16"/>
      <c r="I925" s="2"/>
      <c r="J925" s="14"/>
    </row>
    <row r="926" spans="4:10" ht="14.25" customHeight="1" x14ac:dyDescent="0.3">
      <c r="D926" s="19"/>
      <c r="H926" s="16"/>
      <c r="I926" s="2"/>
      <c r="J926" s="14"/>
    </row>
    <row r="927" spans="4:10" ht="14.25" customHeight="1" x14ac:dyDescent="0.3">
      <c r="D927" s="19"/>
      <c r="H927" s="16"/>
      <c r="I927" s="2"/>
      <c r="J927" s="14"/>
    </row>
    <row r="928" spans="4:10" ht="14.25" customHeight="1" x14ac:dyDescent="0.3">
      <c r="D928" s="19"/>
      <c r="H928" s="16"/>
      <c r="I928" s="2"/>
      <c r="J928" s="14"/>
    </row>
    <row r="929" spans="4:10" ht="14.25" customHeight="1" x14ac:dyDescent="0.3">
      <c r="D929" s="19"/>
      <c r="H929" s="16"/>
      <c r="I929" s="2"/>
      <c r="J929" s="14"/>
    </row>
    <row r="930" spans="4:10" ht="14.25" customHeight="1" x14ac:dyDescent="0.3">
      <c r="D930" s="19"/>
      <c r="H930" s="16"/>
      <c r="I930" s="2"/>
      <c r="J930" s="14"/>
    </row>
    <row r="931" spans="4:10" ht="14.25" customHeight="1" x14ac:dyDescent="0.3">
      <c r="D931" s="19"/>
      <c r="H931" s="16"/>
      <c r="I931" s="2"/>
      <c r="J931" s="14"/>
    </row>
    <row r="932" spans="4:10" ht="14.25" customHeight="1" x14ac:dyDescent="0.3">
      <c r="D932" s="19"/>
      <c r="H932" s="16"/>
      <c r="I932" s="2"/>
      <c r="J932" s="14"/>
    </row>
    <row r="933" spans="4:10" ht="14.25" customHeight="1" x14ac:dyDescent="0.3">
      <c r="D933" s="19"/>
      <c r="H933" s="16"/>
      <c r="I933" s="2"/>
      <c r="J933" s="14"/>
    </row>
    <row r="934" spans="4:10" ht="14.25" customHeight="1" x14ac:dyDescent="0.3">
      <c r="D934" s="19"/>
      <c r="H934" s="16"/>
      <c r="I934" s="2"/>
      <c r="J934" s="14"/>
    </row>
    <row r="935" spans="4:10" ht="14.25" customHeight="1" x14ac:dyDescent="0.3">
      <c r="D935" s="19"/>
      <c r="H935" s="16"/>
      <c r="I935" s="2"/>
      <c r="J935" s="14"/>
    </row>
    <row r="936" spans="4:10" ht="14.25" customHeight="1" x14ac:dyDescent="0.3">
      <c r="D936" s="19"/>
      <c r="H936" s="16"/>
      <c r="I936" s="2"/>
      <c r="J936" s="14"/>
    </row>
    <row r="937" spans="4:10" ht="14.25" customHeight="1" x14ac:dyDescent="0.3">
      <c r="D937" s="19"/>
      <c r="H937" s="16"/>
      <c r="I937" s="2"/>
      <c r="J937" s="14"/>
    </row>
    <row r="938" spans="4:10" ht="14.25" customHeight="1" x14ac:dyDescent="0.3">
      <c r="D938" s="19"/>
      <c r="H938" s="16"/>
      <c r="I938" s="2"/>
      <c r="J938" s="14"/>
    </row>
    <row r="939" spans="4:10" ht="14.25" customHeight="1" x14ac:dyDescent="0.3">
      <c r="D939" s="19"/>
      <c r="H939" s="16"/>
      <c r="I939" s="2"/>
      <c r="J939" s="14"/>
    </row>
    <row r="940" spans="4:10" ht="14.25" customHeight="1" x14ac:dyDescent="0.3">
      <c r="D940" s="19"/>
      <c r="H940" s="16"/>
      <c r="I940" s="2"/>
      <c r="J940" s="14"/>
    </row>
    <row r="941" spans="4:10" ht="14.25" customHeight="1" x14ac:dyDescent="0.3">
      <c r="D941" s="19"/>
      <c r="H941" s="16"/>
      <c r="I941" s="2"/>
      <c r="J941" s="14"/>
    </row>
    <row r="942" spans="4:10" ht="14.25" customHeight="1" x14ac:dyDescent="0.3">
      <c r="D942" s="19"/>
      <c r="H942" s="16"/>
      <c r="I942" s="2"/>
      <c r="J942" s="14"/>
    </row>
    <row r="943" spans="4:10" ht="14.25" customHeight="1" x14ac:dyDescent="0.3">
      <c r="D943" s="19"/>
      <c r="H943" s="16"/>
      <c r="I943" s="2"/>
      <c r="J943" s="14"/>
    </row>
    <row r="944" spans="4:10" ht="14.25" customHeight="1" x14ac:dyDescent="0.3">
      <c r="D944" s="19"/>
      <c r="H944" s="16"/>
      <c r="I944" s="2"/>
      <c r="J944" s="14"/>
    </row>
    <row r="945" spans="4:10" ht="14.25" customHeight="1" x14ac:dyDescent="0.3">
      <c r="D945" s="19"/>
      <c r="H945" s="16"/>
      <c r="I945" s="2"/>
      <c r="J945" s="14"/>
    </row>
    <row r="946" spans="4:10" ht="14.25" customHeight="1" x14ac:dyDescent="0.3">
      <c r="D946" s="19"/>
      <c r="H946" s="16"/>
      <c r="I946" s="2"/>
      <c r="J946" s="14"/>
    </row>
    <row r="947" spans="4:10" ht="14.25" customHeight="1" x14ac:dyDescent="0.3">
      <c r="D947" s="19"/>
      <c r="H947" s="16"/>
      <c r="I947" s="2"/>
      <c r="J947" s="14"/>
    </row>
    <row r="948" spans="4:10" ht="14.25" customHeight="1" x14ac:dyDescent="0.3">
      <c r="D948" s="19"/>
      <c r="H948" s="16"/>
      <c r="I948" s="2"/>
      <c r="J948" s="14"/>
    </row>
    <row r="949" spans="4:10" ht="14.25" customHeight="1" x14ac:dyDescent="0.3">
      <c r="D949" s="19"/>
      <c r="H949" s="16"/>
      <c r="I949" s="2"/>
      <c r="J949" s="14"/>
    </row>
    <row r="950" spans="4:10" ht="14.25" customHeight="1" x14ac:dyDescent="0.3">
      <c r="D950" s="19"/>
      <c r="H950" s="16"/>
      <c r="I950" s="2"/>
      <c r="J950" s="14"/>
    </row>
    <row r="951" spans="4:10" ht="14.25" customHeight="1" x14ac:dyDescent="0.3">
      <c r="D951" s="19"/>
      <c r="H951" s="16"/>
      <c r="I951" s="2"/>
      <c r="J951" s="14"/>
    </row>
    <row r="952" spans="4:10" ht="14.25" customHeight="1" x14ac:dyDescent="0.3">
      <c r="D952" s="19"/>
      <c r="H952" s="16"/>
      <c r="I952" s="2"/>
      <c r="J952" s="14"/>
    </row>
    <row r="953" spans="4:10" ht="14.25" customHeight="1" x14ac:dyDescent="0.3">
      <c r="D953" s="19"/>
      <c r="H953" s="16"/>
      <c r="I953" s="2"/>
      <c r="J953" s="14"/>
    </row>
    <row r="954" spans="4:10" ht="14.25" customHeight="1" x14ac:dyDescent="0.3">
      <c r="D954" s="19"/>
      <c r="H954" s="16"/>
      <c r="I954" s="2"/>
      <c r="J954" s="14"/>
    </row>
    <row r="955" spans="4:10" ht="14.25" customHeight="1" x14ac:dyDescent="0.3">
      <c r="D955" s="19"/>
      <c r="H955" s="16"/>
      <c r="I955" s="2"/>
      <c r="J955" s="14"/>
    </row>
    <row r="956" spans="4:10" ht="14.25" customHeight="1" x14ac:dyDescent="0.3">
      <c r="D956" s="19"/>
      <c r="H956" s="16"/>
      <c r="I956" s="2"/>
      <c r="J956" s="14"/>
    </row>
    <row r="957" spans="4:10" ht="14.25" customHeight="1" x14ac:dyDescent="0.3">
      <c r="D957" s="19"/>
      <c r="H957" s="16"/>
      <c r="I957" s="2"/>
      <c r="J957" s="14"/>
    </row>
    <row r="958" spans="4:10" ht="14.25" customHeight="1" x14ac:dyDescent="0.3">
      <c r="D958" s="19"/>
      <c r="H958" s="16"/>
      <c r="I958" s="2"/>
      <c r="J958" s="14"/>
    </row>
    <row r="959" spans="4:10" ht="14.25" customHeight="1" x14ac:dyDescent="0.3">
      <c r="D959" s="19"/>
      <c r="H959" s="16"/>
      <c r="I959" s="2"/>
      <c r="J959" s="14"/>
    </row>
    <row r="960" spans="4:10" ht="14.25" customHeight="1" x14ac:dyDescent="0.3">
      <c r="D960" s="19"/>
      <c r="H960" s="16"/>
      <c r="I960" s="2"/>
      <c r="J960" s="14"/>
    </row>
    <row r="961" spans="4:10" ht="14.25" customHeight="1" x14ac:dyDescent="0.3">
      <c r="D961" s="19"/>
      <c r="H961" s="16"/>
      <c r="I961" s="2"/>
      <c r="J961" s="14"/>
    </row>
    <row r="962" spans="4:10" ht="14.25" customHeight="1" x14ac:dyDescent="0.3">
      <c r="D962" s="19"/>
      <c r="H962" s="16"/>
      <c r="I962" s="2"/>
      <c r="J962" s="14"/>
    </row>
    <row r="963" spans="4:10" ht="14.25" customHeight="1" x14ac:dyDescent="0.3">
      <c r="D963" s="19"/>
      <c r="H963" s="16"/>
      <c r="I963" s="2"/>
      <c r="J963" s="14"/>
    </row>
    <row r="964" spans="4:10" ht="14.25" customHeight="1" x14ac:dyDescent="0.3">
      <c r="D964" s="19"/>
      <c r="H964" s="16"/>
      <c r="I964" s="2"/>
      <c r="J964" s="14"/>
    </row>
    <row r="965" spans="4:10" ht="14.25" customHeight="1" x14ac:dyDescent="0.3">
      <c r="D965" s="19"/>
      <c r="H965" s="16"/>
      <c r="I965" s="2"/>
      <c r="J965" s="14"/>
    </row>
    <row r="966" spans="4:10" ht="14.25" customHeight="1" x14ac:dyDescent="0.3">
      <c r="D966" s="19"/>
      <c r="H966" s="16"/>
      <c r="I966" s="2"/>
      <c r="J966" s="14"/>
    </row>
    <row r="967" spans="4:10" ht="14.25" customHeight="1" x14ac:dyDescent="0.3">
      <c r="D967" s="19"/>
      <c r="H967" s="16"/>
      <c r="I967" s="2"/>
      <c r="J967" s="14"/>
    </row>
    <row r="968" spans="4:10" ht="14.25" customHeight="1" x14ac:dyDescent="0.3">
      <c r="D968" s="19"/>
      <c r="H968" s="16"/>
      <c r="I968" s="2"/>
      <c r="J968" s="14"/>
    </row>
    <row r="969" spans="4:10" ht="14.25" customHeight="1" x14ac:dyDescent="0.3">
      <c r="D969" s="19"/>
      <c r="H969" s="16"/>
      <c r="I969" s="2"/>
      <c r="J969" s="14"/>
    </row>
    <row r="970" spans="4:10" ht="14.25" customHeight="1" x14ac:dyDescent="0.3">
      <c r="D970" s="19"/>
      <c r="H970" s="16"/>
      <c r="I970" s="2"/>
      <c r="J970" s="14"/>
    </row>
    <row r="971" spans="4:10" ht="14.25" customHeight="1" x14ac:dyDescent="0.3">
      <c r="D971" s="19"/>
      <c r="H971" s="16"/>
      <c r="I971" s="2"/>
      <c r="J971" s="14"/>
    </row>
    <row r="972" spans="4:10" ht="14.25" customHeight="1" x14ac:dyDescent="0.3">
      <c r="D972" s="19"/>
      <c r="H972" s="16"/>
      <c r="I972" s="2"/>
      <c r="J972" s="14"/>
    </row>
    <row r="973" spans="4:10" ht="14.25" customHeight="1" x14ac:dyDescent="0.3">
      <c r="D973" s="19"/>
      <c r="H973" s="16"/>
      <c r="I973" s="2"/>
      <c r="J973" s="14"/>
    </row>
    <row r="974" spans="4:10" ht="14.25" customHeight="1" x14ac:dyDescent="0.3">
      <c r="D974" s="19"/>
      <c r="H974" s="16"/>
      <c r="I974" s="2"/>
      <c r="J974" s="14"/>
    </row>
    <row r="975" spans="4:10" ht="14.25" customHeight="1" x14ac:dyDescent="0.3">
      <c r="D975" s="19"/>
      <c r="H975" s="16"/>
      <c r="I975" s="2"/>
      <c r="J975" s="14"/>
    </row>
    <row r="976" spans="4:10" ht="14.25" customHeight="1" x14ac:dyDescent="0.3">
      <c r="D976" s="19"/>
      <c r="H976" s="16"/>
      <c r="I976" s="2"/>
      <c r="J976" s="14"/>
    </row>
    <row r="977" spans="4:10" ht="14.25" customHeight="1" x14ac:dyDescent="0.3">
      <c r="D977" s="19"/>
      <c r="H977" s="16"/>
      <c r="I977" s="2"/>
      <c r="J977" s="14"/>
    </row>
    <row r="978" spans="4:10" ht="14.25" customHeight="1" x14ac:dyDescent="0.3">
      <c r="D978" s="19"/>
      <c r="H978" s="16"/>
      <c r="I978" s="2"/>
      <c r="J978" s="14"/>
    </row>
    <row r="979" spans="4:10" ht="14.25" customHeight="1" x14ac:dyDescent="0.3">
      <c r="D979" s="19"/>
      <c r="H979" s="16"/>
      <c r="I979" s="2"/>
      <c r="J979" s="14"/>
    </row>
    <row r="980" spans="4:10" ht="14.25" customHeight="1" x14ac:dyDescent="0.3">
      <c r="D980" s="19"/>
      <c r="H980" s="16"/>
      <c r="I980" s="2"/>
      <c r="J980" s="14"/>
    </row>
    <row r="981" spans="4:10" ht="14.25" customHeight="1" x14ac:dyDescent="0.3">
      <c r="D981" s="19"/>
      <c r="H981" s="16"/>
      <c r="I981" s="2"/>
      <c r="J981" s="14"/>
    </row>
    <row r="982" spans="4:10" ht="14.25" customHeight="1" x14ac:dyDescent="0.3">
      <c r="D982" s="19"/>
      <c r="H982" s="16"/>
      <c r="I982" s="2"/>
      <c r="J982" s="14"/>
    </row>
    <row r="983" spans="4:10" ht="14.25" customHeight="1" x14ac:dyDescent="0.3">
      <c r="D983" s="19"/>
      <c r="H983" s="16"/>
      <c r="I983" s="2"/>
      <c r="J983" s="14"/>
    </row>
    <row r="984" spans="4:10" ht="14.25" customHeight="1" x14ac:dyDescent="0.3">
      <c r="D984" s="19"/>
      <c r="H984" s="16"/>
      <c r="I984" s="2"/>
      <c r="J984" s="14"/>
    </row>
    <row r="985" spans="4:10" ht="14.25" customHeight="1" x14ac:dyDescent="0.3">
      <c r="D985" s="19"/>
      <c r="H985" s="16"/>
      <c r="I985" s="2"/>
      <c r="J985" s="14"/>
    </row>
    <row r="986" spans="4:10" ht="14.25" customHeight="1" x14ac:dyDescent="0.3">
      <c r="D986" s="19"/>
      <c r="H986" s="16"/>
      <c r="I986" s="2"/>
      <c r="J986" s="14"/>
    </row>
    <row r="987" spans="4:10" ht="14.25" customHeight="1" x14ac:dyDescent="0.3">
      <c r="D987" s="19"/>
      <c r="H987" s="16"/>
      <c r="I987" s="2"/>
      <c r="J987" s="14"/>
    </row>
    <row r="988" spans="4:10" ht="14.25" customHeight="1" x14ac:dyDescent="0.3">
      <c r="D988" s="19"/>
      <c r="H988" s="16"/>
      <c r="I988" s="2"/>
      <c r="J988" s="14"/>
    </row>
    <row r="989" spans="4:10" ht="14.25" customHeight="1" x14ac:dyDescent="0.3">
      <c r="D989" s="19"/>
      <c r="H989" s="16"/>
      <c r="I989" s="2"/>
      <c r="J989" s="14"/>
    </row>
    <row r="990" spans="4:10" ht="14.25" customHeight="1" x14ac:dyDescent="0.3">
      <c r="D990" s="19"/>
      <c r="H990" s="16"/>
      <c r="I990" s="2"/>
      <c r="J990" s="14"/>
    </row>
    <row r="991" spans="4:10" ht="14.25" customHeight="1" x14ac:dyDescent="0.3">
      <c r="D991" s="19"/>
      <c r="H991" s="16"/>
      <c r="I991" s="2"/>
      <c r="J991" s="14"/>
    </row>
  </sheetData>
  <autoFilter ref="B2:J207" xr:uid="{00000000-0009-0000-0000-000001000000}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'1) Planilla maestra insumos'!$B$3:$B$98</xm:f>
          </x14:formula1>
          <xm:sqref>D208:D991 D3:D195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topLeftCell="A7" workbookViewId="0">
      <selection activeCell="D26" sqref="D26"/>
    </sheetView>
  </sheetViews>
  <sheetFormatPr baseColWidth="10" defaultColWidth="14.44140625" defaultRowHeight="15" customHeight="1" x14ac:dyDescent="0.3"/>
  <cols>
    <col min="1" max="1" width="10.6640625" customWidth="1"/>
    <col min="2" max="2" width="21.6640625" bestFit="1" customWidth="1"/>
    <col min="3" max="3" width="19.109375" bestFit="1" customWidth="1"/>
    <col min="4" max="4" width="12.109375" bestFit="1" customWidth="1"/>
    <col min="5" max="5" width="16.33203125" bestFit="1" customWidth="1"/>
    <col min="6" max="6" width="16.44140625" bestFit="1" customWidth="1"/>
    <col min="7" max="7" width="16.5546875" bestFit="1" customWidth="1"/>
    <col min="8" max="8" width="18.21875" bestFit="1" customWidth="1"/>
    <col min="9" max="9" width="17.6640625" bestFit="1" customWidth="1"/>
    <col min="10" max="10" width="17.77734375" bestFit="1" customWidth="1"/>
    <col min="11" max="11" width="17" bestFit="1" customWidth="1"/>
    <col min="12" max="12" width="17.109375" bestFit="1" customWidth="1"/>
    <col min="13" max="13" width="21.21875" bestFit="1" customWidth="1"/>
    <col min="14" max="14" width="21.33203125" bestFit="1" customWidth="1"/>
    <col min="15" max="15" width="21.6640625" bestFit="1" customWidth="1"/>
    <col min="16" max="16" width="19.109375" bestFit="1" customWidth="1"/>
    <col min="17" max="17" width="18.33203125" bestFit="1" customWidth="1"/>
    <col min="18" max="18" width="17.6640625" bestFit="1" customWidth="1"/>
    <col min="19" max="19" width="11.77734375" bestFit="1" customWidth="1"/>
    <col min="20" max="26" width="10.6640625" customWidth="1"/>
  </cols>
  <sheetData>
    <row r="1" spans="2:10" ht="14.25" customHeight="1" x14ac:dyDescent="0.3">
      <c r="J1" s="20"/>
    </row>
    <row r="2" spans="2:10" ht="14.25" customHeight="1" x14ac:dyDescent="0.3">
      <c r="E2" s="21"/>
    </row>
    <row r="3" spans="2:10" ht="14.4" x14ac:dyDescent="0.3">
      <c r="B3" s="42" t="s">
        <v>138</v>
      </c>
      <c r="C3" s="38" t="s">
        <v>125</v>
      </c>
    </row>
    <row r="4" spans="2:10" ht="14.4" x14ac:dyDescent="0.3">
      <c r="B4" s="49" t="s">
        <v>57</v>
      </c>
      <c r="C4" s="43">
        <v>578.12713472222231</v>
      </c>
    </row>
    <row r="5" spans="2:10" ht="14.4" x14ac:dyDescent="0.3">
      <c r="B5" s="50" t="s">
        <v>59</v>
      </c>
      <c r="C5" s="51">
        <v>764.07659305555558</v>
      </c>
    </row>
    <row r="6" spans="2:10" ht="14.25" customHeight="1" x14ac:dyDescent="0.3">
      <c r="B6" s="50" t="s">
        <v>60</v>
      </c>
      <c r="C6" s="51">
        <v>539.65356805555564</v>
      </c>
      <c r="E6" s="21"/>
    </row>
    <row r="7" spans="2:10" ht="14.25" customHeight="1" x14ac:dyDescent="0.3">
      <c r="B7" s="50" t="s">
        <v>66</v>
      </c>
      <c r="C7" s="51">
        <v>148.49955888888888</v>
      </c>
      <c r="E7" s="21"/>
    </row>
    <row r="8" spans="2:10" ht="14.25" customHeight="1" x14ac:dyDescent="0.3">
      <c r="B8" s="50" t="s">
        <v>126</v>
      </c>
      <c r="C8" s="51">
        <v>589.23391433540348</v>
      </c>
      <c r="E8" s="21"/>
    </row>
    <row r="9" spans="2:10" ht="14.25" customHeight="1" x14ac:dyDescent="0.3">
      <c r="B9" s="50" t="s">
        <v>127</v>
      </c>
      <c r="C9" s="51">
        <v>905.60150940170945</v>
      </c>
      <c r="E9" s="21"/>
    </row>
    <row r="10" spans="2:10" ht="14.25" customHeight="1" x14ac:dyDescent="0.3">
      <c r="B10" s="50" t="s">
        <v>69</v>
      </c>
      <c r="C10" s="51">
        <v>147.28882962962962</v>
      </c>
      <c r="E10" s="21"/>
    </row>
    <row r="11" spans="2:10" ht="14.25" customHeight="1" x14ac:dyDescent="0.3">
      <c r="B11" s="50" t="s">
        <v>71</v>
      </c>
      <c r="C11" s="51">
        <v>561.37584561403503</v>
      </c>
      <c r="E11" s="21"/>
    </row>
    <row r="12" spans="2:10" ht="14.25" customHeight="1" x14ac:dyDescent="0.3">
      <c r="B12" s="50" t="s">
        <v>68</v>
      </c>
      <c r="C12" s="51">
        <v>194.51099236641221</v>
      </c>
      <c r="E12" s="21"/>
    </row>
    <row r="13" spans="2:10" ht="14.25" customHeight="1" x14ac:dyDescent="0.3">
      <c r="B13" s="50" t="s">
        <v>72</v>
      </c>
      <c r="C13" s="51">
        <v>750.96461538461529</v>
      </c>
      <c r="E13" s="21"/>
    </row>
    <row r="14" spans="2:10" ht="14.25" customHeight="1" x14ac:dyDescent="0.3">
      <c r="B14" s="50" t="s">
        <v>70</v>
      </c>
      <c r="C14" s="51">
        <v>178.04894871794872</v>
      </c>
      <c r="E14" s="21"/>
    </row>
    <row r="15" spans="2:10" ht="14.25" customHeight="1" x14ac:dyDescent="0.3">
      <c r="B15" s="50" t="s">
        <v>61</v>
      </c>
      <c r="C15" s="51">
        <v>630.08327472527458</v>
      </c>
    </row>
    <row r="16" spans="2:10" ht="14.25" customHeight="1" x14ac:dyDescent="0.3">
      <c r="B16" s="50" t="s">
        <v>64</v>
      </c>
      <c r="C16" s="51">
        <v>1349.7620312612612</v>
      </c>
    </row>
    <row r="17" spans="2:3" ht="14.25" customHeight="1" x14ac:dyDescent="0.3">
      <c r="B17" s="50" t="s">
        <v>65</v>
      </c>
      <c r="C17" s="51">
        <v>2030.8620312612613</v>
      </c>
    </row>
    <row r="18" spans="2:3" ht="14.25" customHeight="1" x14ac:dyDescent="0.3">
      <c r="B18" s="50" t="s">
        <v>63</v>
      </c>
      <c r="C18" s="51">
        <v>1427.2370312612613</v>
      </c>
    </row>
    <row r="19" spans="2:3" ht="14.25" customHeight="1" x14ac:dyDescent="0.3">
      <c r="B19" s="50" t="s">
        <v>139</v>
      </c>
      <c r="C19" s="51">
        <v>191.68857535014007</v>
      </c>
    </row>
    <row r="20" spans="2:3" ht="14.25" customHeight="1" x14ac:dyDescent="0.3">
      <c r="B20" s="52" t="s">
        <v>124</v>
      </c>
      <c r="C20" s="44">
        <v>10987.014454031174</v>
      </c>
    </row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998"/>
  <sheetViews>
    <sheetView tabSelected="1" workbookViewId="0">
      <pane xSplit="3" ySplit="3" topLeftCell="D17" activePane="bottomRight" state="frozen"/>
      <selection pane="topRight" activeCell="D1" sqref="D1"/>
      <selection pane="bottomLeft" activeCell="A4" sqref="A4"/>
      <selection pane="bottomRight" activeCell="J32" sqref="J32"/>
    </sheetView>
  </sheetViews>
  <sheetFormatPr baseColWidth="10" defaultColWidth="14.44140625" defaultRowHeight="15" customHeight="1" x14ac:dyDescent="0.3"/>
  <cols>
    <col min="1" max="1" width="10.6640625" customWidth="1"/>
    <col min="2" max="3" width="25.33203125" customWidth="1"/>
    <col min="4" max="4" width="10.6640625" customWidth="1"/>
    <col min="5" max="5" width="11.5546875" customWidth="1"/>
    <col min="6" max="6" width="12.5546875" customWidth="1"/>
    <col min="7" max="7" width="16.44140625" customWidth="1"/>
    <col min="8" max="26" width="10.6640625" customWidth="1"/>
  </cols>
  <sheetData>
    <row r="1" spans="2:7" ht="14.25" customHeight="1" x14ac:dyDescent="0.3">
      <c r="E1" s="16"/>
    </row>
    <row r="2" spans="2:7" ht="14.25" customHeight="1" x14ac:dyDescent="0.3">
      <c r="E2" s="16"/>
    </row>
    <row r="3" spans="2:7" ht="14.25" customHeight="1" x14ac:dyDescent="0.3">
      <c r="B3" s="22" t="s">
        <v>73</v>
      </c>
      <c r="C3" s="22" t="s">
        <v>74</v>
      </c>
      <c r="D3" s="22" t="s">
        <v>51</v>
      </c>
      <c r="E3" s="23" t="s">
        <v>75</v>
      </c>
      <c r="F3" s="22" t="s">
        <v>56</v>
      </c>
      <c r="G3" s="22" t="s">
        <v>76</v>
      </c>
    </row>
    <row r="4" spans="2:7" ht="14.25" customHeight="1" x14ac:dyDescent="0.3">
      <c r="B4" s="103" t="s">
        <v>77</v>
      </c>
      <c r="C4" s="15" t="s">
        <v>20</v>
      </c>
      <c r="D4" s="15" t="str">
        <f>+VLOOKUP(C4,Insumos,2,FALSE)</f>
        <v>unidades</v>
      </c>
      <c r="E4" s="17">
        <v>1</v>
      </c>
      <c r="F4" s="17">
        <f t="shared" ref="F4:F33" si="0">+VLOOKUP(C4,Insumos,5,FALSE)*E4</f>
        <v>174.685</v>
      </c>
      <c r="G4" s="106">
        <f>+SUM(F4:F6)</f>
        <v>216.05734000000001</v>
      </c>
    </row>
    <row r="5" spans="2:7" ht="14.25" customHeight="1" x14ac:dyDescent="0.3">
      <c r="B5" s="104"/>
      <c r="C5" s="15" t="s">
        <v>47</v>
      </c>
      <c r="D5" s="15" t="s">
        <v>13</v>
      </c>
      <c r="E5" s="17">
        <v>1</v>
      </c>
      <c r="F5" s="17">
        <f t="shared" si="0"/>
        <v>17.2425</v>
      </c>
      <c r="G5" s="104"/>
    </row>
    <row r="6" spans="2:7" ht="14.25" customHeight="1" x14ac:dyDescent="0.3">
      <c r="B6" s="105"/>
      <c r="C6" s="15" t="s">
        <v>43</v>
      </c>
      <c r="D6" s="15" t="str">
        <f>+VLOOKUP(C6,Insumos,2,FALSE)</f>
        <v>kg</v>
      </c>
      <c r="E6" s="17">
        <f>2.1/1000</f>
        <v>2.1000000000000003E-3</v>
      </c>
      <c r="F6" s="17">
        <f t="shared" si="0"/>
        <v>24.129840000000002</v>
      </c>
      <c r="G6" s="105"/>
    </row>
    <row r="7" spans="2:7" ht="14.25" customHeight="1" x14ac:dyDescent="0.3">
      <c r="B7" s="103" t="s">
        <v>78</v>
      </c>
      <c r="C7" s="15" t="s">
        <v>20</v>
      </c>
      <c r="D7" s="15" t="str">
        <f>+VLOOKUP(C7,Insumos,2,FALSE)</f>
        <v>unidades</v>
      </c>
      <c r="E7" s="17">
        <v>2</v>
      </c>
      <c r="F7" s="17">
        <f t="shared" si="0"/>
        <v>349.37</v>
      </c>
      <c r="G7" s="106">
        <f>+SUM(F7:F9)</f>
        <v>432.11468000000002</v>
      </c>
    </row>
    <row r="8" spans="2:7" ht="14.25" customHeight="1" x14ac:dyDescent="0.3">
      <c r="B8" s="104"/>
      <c r="C8" s="15" t="s">
        <v>47</v>
      </c>
      <c r="D8" s="15" t="s">
        <v>13</v>
      </c>
      <c r="E8" s="17">
        <v>2</v>
      </c>
      <c r="F8" s="17">
        <f t="shared" si="0"/>
        <v>34.484999999999999</v>
      </c>
      <c r="G8" s="104"/>
    </row>
    <row r="9" spans="2:7" ht="14.25" customHeight="1" x14ac:dyDescent="0.3">
      <c r="B9" s="105"/>
      <c r="C9" s="15" t="s">
        <v>43</v>
      </c>
      <c r="D9" s="15" t="str">
        <f>+VLOOKUP(C9,Insumos,2,FALSE)</f>
        <v>kg</v>
      </c>
      <c r="E9" s="17">
        <f>2.1*2/1000</f>
        <v>4.2000000000000006E-3</v>
      </c>
      <c r="F9" s="17">
        <f t="shared" si="0"/>
        <v>48.259680000000003</v>
      </c>
      <c r="G9" s="105"/>
    </row>
    <row r="10" spans="2:7" ht="14.25" customHeight="1" x14ac:dyDescent="0.3">
      <c r="B10" s="103" t="s">
        <v>79</v>
      </c>
      <c r="C10" s="15" t="s">
        <v>20</v>
      </c>
      <c r="D10" s="15" t="str">
        <f>+VLOOKUP(C10,Insumos,2,FALSE)</f>
        <v>unidades</v>
      </c>
      <c r="E10" s="17">
        <v>1</v>
      </c>
      <c r="F10" s="17">
        <f t="shared" si="0"/>
        <v>174.685</v>
      </c>
      <c r="G10" s="106">
        <f>+SUM(F10:F12)</f>
        <v>216.05734000000001</v>
      </c>
    </row>
    <row r="11" spans="2:7" ht="14.25" customHeight="1" x14ac:dyDescent="0.3">
      <c r="B11" s="104"/>
      <c r="C11" s="15" t="s">
        <v>47</v>
      </c>
      <c r="D11" s="15" t="s">
        <v>13</v>
      </c>
      <c r="E11" s="17">
        <v>1</v>
      </c>
      <c r="F11" s="17">
        <f t="shared" si="0"/>
        <v>17.2425</v>
      </c>
      <c r="G11" s="104"/>
    </row>
    <row r="12" spans="2:7" ht="14.25" customHeight="1" x14ac:dyDescent="0.3">
      <c r="B12" s="105"/>
      <c r="C12" s="15" t="s">
        <v>43</v>
      </c>
      <c r="D12" s="15" t="str">
        <f>+VLOOKUP(C12,Insumos,2,FALSE)</f>
        <v>kg</v>
      </c>
      <c r="E12" s="17">
        <f>2.1/1000</f>
        <v>2.1000000000000003E-3</v>
      </c>
      <c r="F12" s="17">
        <f t="shared" si="0"/>
        <v>24.129840000000002</v>
      </c>
      <c r="G12" s="105"/>
    </row>
    <row r="13" spans="2:7" ht="14.25" customHeight="1" x14ac:dyDescent="0.3">
      <c r="B13" s="103" t="s">
        <v>80</v>
      </c>
      <c r="C13" s="15" t="s">
        <v>20</v>
      </c>
      <c r="D13" s="15" t="str">
        <f>+VLOOKUP(C13,Insumos,2,FALSE)</f>
        <v>unidades</v>
      </c>
      <c r="E13" s="17">
        <v>1</v>
      </c>
      <c r="F13" s="17">
        <f t="shared" si="0"/>
        <v>174.685</v>
      </c>
      <c r="G13" s="106">
        <f>+SUM(F13:F15)</f>
        <v>216.05734000000001</v>
      </c>
    </row>
    <row r="14" spans="2:7" ht="14.25" customHeight="1" x14ac:dyDescent="0.3">
      <c r="B14" s="104"/>
      <c r="C14" s="15" t="s">
        <v>47</v>
      </c>
      <c r="D14" s="15" t="s">
        <v>13</v>
      </c>
      <c r="E14" s="17">
        <v>1</v>
      </c>
      <c r="F14" s="17">
        <f t="shared" si="0"/>
        <v>17.2425</v>
      </c>
      <c r="G14" s="104"/>
    </row>
    <row r="15" spans="2:7" ht="14.25" customHeight="1" x14ac:dyDescent="0.3">
      <c r="B15" s="105"/>
      <c r="C15" s="15" t="s">
        <v>43</v>
      </c>
      <c r="D15" s="15" t="str">
        <f>+VLOOKUP(C15,Insumos,2,FALSE)</f>
        <v>kg</v>
      </c>
      <c r="E15" s="17">
        <f>2.1/1000</f>
        <v>2.1000000000000003E-3</v>
      </c>
      <c r="F15" s="17">
        <f t="shared" si="0"/>
        <v>24.129840000000002</v>
      </c>
      <c r="G15" s="105"/>
    </row>
    <row r="16" spans="2:7" ht="14.25" customHeight="1" x14ac:dyDescent="0.3">
      <c r="B16" s="103" t="s">
        <v>81</v>
      </c>
      <c r="C16" s="15" t="s">
        <v>82</v>
      </c>
      <c r="D16" s="15" t="str">
        <f>+VLOOKUP(C16,Insumos,2,FALSE)</f>
        <v>unidades</v>
      </c>
      <c r="E16" s="17">
        <v>1</v>
      </c>
      <c r="F16" s="17">
        <f t="shared" si="0"/>
        <v>108</v>
      </c>
      <c r="G16" s="106">
        <f>+SUM(F16:F18)</f>
        <v>149.37234000000001</v>
      </c>
    </row>
    <row r="17" spans="2:7" ht="14.25" customHeight="1" x14ac:dyDescent="0.3">
      <c r="B17" s="104"/>
      <c r="C17" s="15" t="s">
        <v>47</v>
      </c>
      <c r="D17" s="15" t="s">
        <v>13</v>
      </c>
      <c r="E17" s="17">
        <v>1</v>
      </c>
      <c r="F17" s="17">
        <f t="shared" si="0"/>
        <v>17.2425</v>
      </c>
      <c r="G17" s="104"/>
    </row>
    <row r="18" spans="2:7" ht="14.25" customHeight="1" x14ac:dyDescent="0.3">
      <c r="B18" s="105"/>
      <c r="C18" s="15" t="s">
        <v>43</v>
      </c>
      <c r="D18" s="15" t="str">
        <f>+VLOOKUP(C18,Insumos,2,FALSE)</f>
        <v>kg</v>
      </c>
      <c r="E18" s="17">
        <f>2.1/1000</f>
        <v>2.1000000000000003E-3</v>
      </c>
      <c r="F18" s="17">
        <f t="shared" si="0"/>
        <v>24.129840000000002</v>
      </c>
      <c r="G18" s="105"/>
    </row>
    <row r="19" spans="2:7" ht="14.25" customHeight="1" x14ac:dyDescent="0.3">
      <c r="B19" s="103" t="s">
        <v>83</v>
      </c>
      <c r="C19" s="15" t="s">
        <v>84</v>
      </c>
      <c r="D19" s="15" t="str">
        <f>+VLOOKUP(C19,Insumos,2,FALSE)</f>
        <v>unidades</v>
      </c>
      <c r="E19" s="17">
        <v>1</v>
      </c>
      <c r="F19" s="17">
        <f t="shared" si="0"/>
        <v>174.685</v>
      </c>
      <c r="G19" s="106">
        <f>+SUM(F19:F21)</f>
        <v>216.05734000000001</v>
      </c>
    </row>
    <row r="20" spans="2:7" ht="14.25" customHeight="1" x14ac:dyDescent="0.3">
      <c r="B20" s="104"/>
      <c r="C20" s="15" t="s">
        <v>47</v>
      </c>
      <c r="D20" s="15" t="s">
        <v>13</v>
      </c>
      <c r="E20" s="17">
        <v>1</v>
      </c>
      <c r="F20" s="17">
        <f t="shared" si="0"/>
        <v>17.2425</v>
      </c>
      <c r="G20" s="104"/>
    </row>
    <row r="21" spans="2:7" ht="14.25" customHeight="1" x14ac:dyDescent="0.3">
      <c r="B21" s="105"/>
      <c r="C21" s="15" t="s">
        <v>43</v>
      </c>
      <c r="D21" s="15" t="str">
        <f>+VLOOKUP(C21,Insumos,2,FALSE)</f>
        <v>kg</v>
      </c>
      <c r="E21" s="17">
        <f>2.1/1000</f>
        <v>2.1000000000000003E-3</v>
      </c>
      <c r="F21" s="17">
        <f t="shared" si="0"/>
        <v>24.129840000000002</v>
      </c>
      <c r="G21" s="105"/>
    </row>
    <row r="22" spans="2:7" ht="14.25" customHeight="1" x14ac:dyDescent="0.3">
      <c r="B22" s="103" t="s">
        <v>85</v>
      </c>
      <c r="C22" s="15" t="s">
        <v>20</v>
      </c>
      <c r="D22" s="15" t="str">
        <f>+VLOOKUP(C22,Insumos,2,FALSE)</f>
        <v>unidades</v>
      </c>
      <c r="E22" s="17">
        <v>1</v>
      </c>
      <c r="F22" s="17">
        <f t="shared" si="0"/>
        <v>174.685</v>
      </c>
      <c r="G22" s="106">
        <f>+SUM(F22:F24)</f>
        <v>216.05734000000001</v>
      </c>
    </row>
    <row r="23" spans="2:7" ht="14.25" customHeight="1" x14ac:dyDescent="0.3">
      <c r="B23" s="104"/>
      <c r="C23" s="15" t="s">
        <v>47</v>
      </c>
      <c r="D23" s="15" t="s">
        <v>13</v>
      </c>
      <c r="E23" s="17">
        <v>1</v>
      </c>
      <c r="F23" s="17">
        <f t="shared" si="0"/>
        <v>17.2425</v>
      </c>
      <c r="G23" s="104"/>
    </row>
    <row r="24" spans="2:7" ht="14.25" customHeight="1" x14ac:dyDescent="0.3">
      <c r="B24" s="105"/>
      <c r="C24" s="15" t="s">
        <v>43</v>
      </c>
      <c r="D24" s="15" t="str">
        <f>+VLOOKUP(C24,Insumos,2,FALSE)</f>
        <v>kg</v>
      </c>
      <c r="E24" s="17">
        <f>2.1/1000</f>
        <v>2.1000000000000003E-3</v>
      </c>
      <c r="F24" s="17">
        <f t="shared" si="0"/>
        <v>24.129840000000002</v>
      </c>
      <c r="G24" s="105"/>
    </row>
    <row r="25" spans="2:7" ht="14.25" customHeight="1" x14ac:dyDescent="0.3">
      <c r="B25" s="103" t="s">
        <v>86</v>
      </c>
      <c r="C25" s="15" t="s">
        <v>82</v>
      </c>
      <c r="D25" s="15" t="str">
        <f>+VLOOKUP(C25,Insumos,2,FALSE)</f>
        <v>unidades</v>
      </c>
      <c r="E25" s="17">
        <v>1</v>
      </c>
      <c r="F25" s="17">
        <f t="shared" si="0"/>
        <v>108</v>
      </c>
      <c r="G25" s="106">
        <f>+SUM(F25:F27)</f>
        <v>149.37234000000001</v>
      </c>
    </row>
    <row r="26" spans="2:7" ht="14.25" customHeight="1" x14ac:dyDescent="0.3">
      <c r="B26" s="104"/>
      <c r="C26" s="15" t="s">
        <v>47</v>
      </c>
      <c r="D26" s="15" t="s">
        <v>13</v>
      </c>
      <c r="E26" s="17">
        <v>1</v>
      </c>
      <c r="F26" s="17">
        <f t="shared" si="0"/>
        <v>17.2425</v>
      </c>
      <c r="G26" s="104"/>
    </row>
    <row r="27" spans="2:7" ht="14.25" customHeight="1" x14ac:dyDescent="0.3">
      <c r="B27" s="105"/>
      <c r="C27" s="15" t="s">
        <v>43</v>
      </c>
      <c r="D27" s="15" t="str">
        <f>+VLOOKUP(C27,Insumos,2,FALSE)</f>
        <v>kg</v>
      </c>
      <c r="E27" s="17">
        <f>2.1/1000</f>
        <v>2.1000000000000003E-3</v>
      </c>
      <c r="F27" s="17">
        <f t="shared" si="0"/>
        <v>24.129840000000002</v>
      </c>
      <c r="G27" s="105"/>
    </row>
    <row r="28" spans="2:7" ht="14.25" customHeight="1" x14ac:dyDescent="0.3">
      <c r="B28" s="103" t="s">
        <v>87</v>
      </c>
      <c r="C28" s="15" t="s">
        <v>82</v>
      </c>
      <c r="D28" s="15" t="str">
        <f>+VLOOKUP(C28,Insumos,2,FALSE)</f>
        <v>unidades</v>
      </c>
      <c r="E28" s="17">
        <v>1</v>
      </c>
      <c r="F28" s="17">
        <f t="shared" si="0"/>
        <v>108</v>
      </c>
      <c r="G28" s="106">
        <f>+SUM(F28:F30)</f>
        <v>149.37234000000001</v>
      </c>
    </row>
    <row r="29" spans="2:7" ht="14.25" customHeight="1" x14ac:dyDescent="0.3">
      <c r="B29" s="104"/>
      <c r="C29" s="15" t="s">
        <v>47</v>
      </c>
      <c r="D29" s="15" t="s">
        <v>13</v>
      </c>
      <c r="E29" s="17">
        <v>1</v>
      </c>
      <c r="F29" s="17">
        <f t="shared" si="0"/>
        <v>17.2425</v>
      </c>
      <c r="G29" s="104"/>
    </row>
    <row r="30" spans="2:7" ht="14.25" customHeight="1" x14ac:dyDescent="0.3">
      <c r="B30" s="105"/>
      <c r="C30" s="15" t="s">
        <v>43</v>
      </c>
      <c r="D30" s="15" t="str">
        <f>+VLOOKUP(C30,Insumos,2,FALSE)</f>
        <v>kg</v>
      </c>
      <c r="E30" s="17">
        <f>2.1/1000</f>
        <v>2.1000000000000003E-3</v>
      </c>
      <c r="F30" s="17">
        <f t="shared" si="0"/>
        <v>24.129840000000002</v>
      </c>
      <c r="G30" s="105"/>
    </row>
    <row r="31" spans="2:7" ht="14.25" customHeight="1" x14ac:dyDescent="0.3">
      <c r="B31" s="103" t="s">
        <v>88</v>
      </c>
      <c r="C31" s="15" t="s">
        <v>82</v>
      </c>
      <c r="D31" s="15" t="str">
        <f>+VLOOKUP(C31,Insumos,2,FALSE)</f>
        <v>unidades</v>
      </c>
      <c r="E31" s="17">
        <v>1</v>
      </c>
      <c r="F31" s="17">
        <f t="shared" si="0"/>
        <v>108</v>
      </c>
      <c r="G31" s="106">
        <f>+SUM(F31:F33)</f>
        <v>149.37234000000001</v>
      </c>
    </row>
    <row r="32" spans="2:7" ht="14.25" customHeight="1" x14ac:dyDescent="0.3">
      <c r="B32" s="104"/>
      <c r="C32" s="15" t="s">
        <v>47</v>
      </c>
      <c r="D32" s="15" t="s">
        <v>13</v>
      </c>
      <c r="E32" s="17">
        <v>1</v>
      </c>
      <c r="F32" s="17">
        <f t="shared" si="0"/>
        <v>17.2425</v>
      </c>
      <c r="G32" s="104"/>
    </row>
    <row r="33" spans="2:7" ht="14.25" customHeight="1" x14ac:dyDescent="0.3">
      <c r="B33" s="105"/>
      <c r="C33" s="15" t="s">
        <v>43</v>
      </c>
      <c r="D33" s="15" t="str">
        <f>+VLOOKUP(C33,Insumos,2,FALSE)</f>
        <v>kg</v>
      </c>
      <c r="E33" s="17">
        <f>2.1/1000</f>
        <v>2.1000000000000003E-3</v>
      </c>
      <c r="F33" s="17">
        <f t="shared" si="0"/>
        <v>24.129840000000002</v>
      </c>
      <c r="G33" s="105"/>
    </row>
    <row r="34" spans="2:7" ht="14.25" customHeight="1" x14ac:dyDescent="0.3">
      <c r="B34" s="103" t="s">
        <v>133</v>
      </c>
      <c r="C34" s="15" t="s">
        <v>20</v>
      </c>
      <c r="D34" s="15" t="str">
        <f>+VLOOKUP(C34,Insumos,2,FALSE)</f>
        <v>unidades</v>
      </c>
      <c r="E34" s="17">
        <v>1</v>
      </c>
      <c r="F34" s="17">
        <f t="shared" ref="F34:F36" si="1">+VLOOKUP(C34,Insumos,5,FALSE)*E34</f>
        <v>174.685</v>
      </c>
      <c r="G34" s="106">
        <f>+SUM(F34:F36)</f>
        <v>216.05734000000001</v>
      </c>
    </row>
    <row r="35" spans="2:7" ht="14.25" customHeight="1" x14ac:dyDescent="0.3">
      <c r="B35" s="104"/>
      <c r="C35" s="15" t="s">
        <v>47</v>
      </c>
      <c r="D35" s="15" t="s">
        <v>13</v>
      </c>
      <c r="E35" s="17">
        <v>1</v>
      </c>
      <c r="F35" s="17">
        <f t="shared" si="1"/>
        <v>17.2425</v>
      </c>
      <c r="G35" s="104"/>
    </row>
    <row r="36" spans="2:7" ht="14.25" customHeight="1" x14ac:dyDescent="0.3">
      <c r="B36" s="105"/>
      <c r="C36" s="15" t="s">
        <v>43</v>
      </c>
      <c r="D36" s="15" t="str">
        <f>+VLOOKUP(C36,Insumos,2,FALSE)</f>
        <v>kg</v>
      </c>
      <c r="E36" s="17">
        <f>2.1/1000</f>
        <v>2.1000000000000003E-3</v>
      </c>
      <c r="F36" s="17">
        <f t="shared" si="1"/>
        <v>24.129840000000002</v>
      </c>
      <c r="G36" s="105"/>
    </row>
    <row r="37" spans="2:7" ht="14.25" customHeight="1" x14ac:dyDescent="0.3">
      <c r="B37" s="103" t="s">
        <v>134</v>
      </c>
      <c r="C37" s="15" t="s">
        <v>20</v>
      </c>
      <c r="D37" s="15" t="str">
        <f>+VLOOKUP(C37,Insumos,2,FALSE)</f>
        <v>unidades</v>
      </c>
      <c r="E37" s="17">
        <v>1</v>
      </c>
      <c r="F37" s="17">
        <f t="shared" ref="F37:F39" si="2">+VLOOKUP(C37,Insumos,5,FALSE)*E37</f>
        <v>174.685</v>
      </c>
      <c r="G37" s="106">
        <f>+SUM(F37:F39)</f>
        <v>216.05734000000001</v>
      </c>
    </row>
    <row r="38" spans="2:7" ht="14.25" customHeight="1" x14ac:dyDescent="0.3">
      <c r="B38" s="104"/>
      <c r="C38" s="15" t="s">
        <v>47</v>
      </c>
      <c r="D38" s="15" t="s">
        <v>13</v>
      </c>
      <c r="E38" s="17">
        <v>1</v>
      </c>
      <c r="F38" s="17">
        <f t="shared" si="2"/>
        <v>17.2425</v>
      </c>
      <c r="G38" s="104"/>
    </row>
    <row r="39" spans="2:7" ht="14.25" customHeight="1" x14ac:dyDescent="0.3">
      <c r="B39" s="105"/>
      <c r="C39" s="15" t="s">
        <v>43</v>
      </c>
      <c r="D39" s="15" t="str">
        <f>+VLOOKUP(C39,Insumos,2,FALSE)</f>
        <v>kg</v>
      </c>
      <c r="E39" s="17">
        <f>2.1/1000</f>
        <v>2.1000000000000003E-3</v>
      </c>
      <c r="F39" s="17">
        <f t="shared" si="2"/>
        <v>24.129840000000002</v>
      </c>
      <c r="G39" s="105"/>
    </row>
    <row r="40" spans="2:7" ht="14.25" customHeight="1" x14ac:dyDescent="0.3">
      <c r="B40" s="103" t="s">
        <v>137</v>
      </c>
      <c r="C40" s="15" t="s">
        <v>20</v>
      </c>
      <c r="D40" s="15" t="str">
        <f>+VLOOKUP(C40,Insumos,2,FALSE)</f>
        <v>unidades</v>
      </c>
      <c r="E40" s="17">
        <v>1</v>
      </c>
      <c r="F40" s="17">
        <f t="shared" ref="F40:F42" si="3">+VLOOKUP(C40,Insumos,5,FALSE)*E40</f>
        <v>174.685</v>
      </c>
      <c r="G40" s="106">
        <f>+SUM(F40:F42)</f>
        <v>216.05734000000001</v>
      </c>
    </row>
    <row r="41" spans="2:7" ht="14.25" customHeight="1" x14ac:dyDescent="0.3">
      <c r="B41" s="104"/>
      <c r="C41" s="15" t="s">
        <v>47</v>
      </c>
      <c r="D41" s="15" t="s">
        <v>13</v>
      </c>
      <c r="E41" s="17">
        <v>1</v>
      </c>
      <c r="F41" s="17">
        <f t="shared" si="3"/>
        <v>17.2425</v>
      </c>
      <c r="G41" s="104"/>
    </row>
    <row r="42" spans="2:7" ht="14.25" customHeight="1" x14ac:dyDescent="0.3">
      <c r="B42" s="105"/>
      <c r="C42" s="15" t="s">
        <v>43</v>
      </c>
      <c r="D42" s="15" t="str">
        <f>+VLOOKUP(C42,Insumos,2,FALSE)</f>
        <v>kg</v>
      </c>
      <c r="E42" s="17">
        <f>2.1/1000</f>
        <v>2.1000000000000003E-3</v>
      </c>
      <c r="F42" s="17">
        <f t="shared" si="3"/>
        <v>24.129840000000002</v>
      </c>
      <c r="G42" s="105"/>
    </row>
    <row r="43" spans="2:7" ht="14.25" customHeight="1" x14ac:dyDescent="0.3">
      <c r="B43" s="103" t="s">
        <v>135</v>
      </c>
      <c r="C43" s="15" t="s">
        <v>20</v>
      </c>
      <c r="D43" s="15" t="str">
        <f>+VLOOKUP(C43,Insumos,2,FALSE)</f>
        <v>unidades</v>
      </c>
      <c r="E43" s="17">
        <v>2</v>
      </c>
      <c r="F43" s="17">
        <f t="shared" ref="F43:F45" si="4">+VLOOKUP(C43,Insumos,5,FALSE)*E43</f>
        <v>349.37</v>
      </c>
      <c r="G43" s="106">
        <f>+SUM(F43:F45)</f>
        <v>432.11468000000002</v>
      </c>
    </row>
    <row r="44" spans="2:7" ht="14.25" customHeight="1" x14ac:dyDescent="0.3">
      <c r="B44" s="104"/>
      <c r="C44" s="15" t="s">
        <v>47</v>
      </c>
      <c r="D44" s="15" t="s">
        <v>13</v>
      </c>
      <c r="E44" s="17">
        <v>2</v>
      </c>
      <c r="F44" s="17">
        <f t="shared" si="4"/>
        <v>34.484999999999999</v>
      </c>
      <c r="G44" s="104"/>
    </row>
    <row r="45" spans="2:7" ht="14.25" customHeight="1" x14ac:dyDescent="0.3">
      <c r="B45" s="105"/>
      <c r="C45" s="15" t="s">
        <v>43</v>
      </c>
      <c r="D45" s="15" t="str">
        <f>+VLOOKUP(C45,Insumos,2,FALSE)</f>
        <v>kg</v>
      </c>
      <c r="E45" s="17">
        <f>2.1*2/1000</f>
        <v>4.2000000000000006E-3</v>
      </c>
      <c r="F45" s="17">
        <f t="shared" si="4"/>
        <v>48.259680000000003</v>
      </c>
      <c r="G45" s="105"/>
    </row>
    <row r="46" spans="2:7" ht="14.25" customHeight="1" x14ac:dyDescent="0.3">
      <c r="B46" s="103" t="s">
        <v>136</v>
      </c>
      <c r="C46" s="15" t="s">
        <v>20</v>
      </c>
      <c r="D46" s="15" t="str">
        <f>+VLOOKUP(C46,Insumos,2,FALSE)</f>
        <v>unidades</v>
      </c>
      <c r="E46" s="17">
        <v>2</v>
      </c>
      <c r="F46" s="17">
        <f t="shared" ref="F46:F48" si="5">+VLOOKUP(C46,Insumos,5,FALSE)*E46</f>
        <v>349.37</v>
      </c>
      <c r="G46" s="106">
        <f>+SUM(F46:F48)</f>
        <v>432.11468000000002</v>
      </c>
    </row>
    <row r="47" spans="2:7" ht="14.25" customHeight="1" x14ac:dyDescent="0.3">
      <c r="B47" s="107"/>
      <c r="C47" s="15" t="s">
        <v>47</v>
      </c>
      <c r="D47" s="15" t="s">
        <v>13</v>
      </c>
      <c r="E47" s="17">
        <v>2</v>
      </c>
      <c r="F47" s="17">
        <f t="shared" si="5"/>
        <v>34.484999999999999</v>
      </c>
      <c r="G47" s="109"/>
    </row>
    <row r="48" spans="2:7" ht="14.25" customHeight="1" x14ac:dyDescent="0.3">
      <c r="B48" s="108"/>
      <c r="C48" s="15" t="s">
        <v>43</v>
      </c>
      <c r="D48" s="15" t="str">
        <f>+VLOOKUP(C48,Insumos,2,FALSE)</f>
        <v>kg</v>
      </c>
      <c r="E48" s="17">
        <f>2.1*2/1000</f>
        <v>4.2000000000000006E-3</v>
      </c>
      <c r="F48" s="17">
        <f t="shared" si="5"/>
        <v>48.259680000000003</v>
      </c>
      <c r="G48" s="110"/>
    </row>
    <row r="49" spans="3:5" ht="14.25" customHeight="1" x14ac:dyDescent="0.3">
      <c r="C49" s="19"/>
      <c r="E49" s="16"/>
    </row>
    <row r="50" spans="3:5" ht="14.25" customHeight="1" x14ac:dyDescent="0.3">
      <c r="C50" s="19"/>
      <c r="E50" s="16"/>
    </row>
    <row r="51" spans="3:5" ht="14.25" customHeight="1" x14ac:dyDescent="0.3">
      <c r="C51" s="19"/>
      <c r="E51" s="16"/>
    </row>
    <row r="52" spans="3:5" ht="14.25" customHeight="1" x14ac:dyDescent="0.3">
      <c r="C52" s="19"/>
      <c r="E52" s="16"/>
    </row>
    <row r="53" spans="3:5" ht="14.25" customHeight="1" x14ac:dyDescent="0.3">
      <c r="C53" s="19"/>
      <c r="E53" s="16"/>
    </row>
    <row r="54" spans="3:5" ht="14.25" customHeight="1" x14ac:dyDescent="0.3">
      <c r="C54" s="19"/>
      <c r="E54" s="16"/>
    </row>
    <row r="55" spans="3:5" ht="14.25" customHeight="1" x14ac:dyDescent="0.3">
      <c r="C55" s="19"/>
      <c r="E55" s="16"/>
    </row>
    <row r="56" spans="3:5" ht="14.25" customHeight="1" x14ac:dyDescent="0.3">
      <c r="C56" s="19"/>
      <c r="E56" s="16"/>
    </row>
    <row r="57" spans="3:5" ht="14.25" customHeight="1" x14ac:dyDescent="0.3">
      <c r="C57" s="19"/>
      <c r="E57" s="16"/>
    </row>
    <row r="58" spans="3:5" ht="14.25" customHeight="1" x14ac:dyDescent="0.3">
      <c r="C58" s="19"/>
      <c r="E58" s="16"/>
    </row>
    <row r="59" spans="3:5" ht="14.25" customHeight="1" x14ac:dyDescent="0.3">
      <c r="C59" s="19"/>
      <c r="E59" s="16"/>
    </row>
    <row r="60" spans="3:5" ht="14.25" customHeight="1" x14ac:dyDescent="0.3">
      <c r="C60" s="19"/>
      <c r="E60" s="16"/>
    </row>
    <row r="61" spans="3:5" ht="14.25" customHeight="1" x14ac:dyDescent="0.3">
      <c r="C61" s="19"/>
      <c r="E61" s="16"/>
    </row>
    <row r="62" spans="3:5" ht="14.25" customHeight="1" x14ac:dyDescent="0.3">
      <c r="C62" s="19"/>
      <c r="E62" s="16"/>
    </row>
    <row r="63" spans="3:5" ht="14.25" customHeight="1" x14ac:dyDescent="0.3">
      <c r="C63" s="19"/>
      <c r="E63" s="16"/>
    </row>
    <row r="64" spans="3:5" ht="14.25" customHeight="1" x14ac:dyDescent="0.3">
      <c r="C64" s="19"/>
      <c r="E64" s="16"/>
    </row>
    <row r="65" spans="3:5" ht="14.25" customHeight="1" x14ac:dyDescent="0.3">
      <c r="C65" s="19"/>
      <c r="E65" s="16"/>
    </row>
    <row r="66" spans="3:5" ht="14.25" customHeight="1" x14ac:dyDescent="0.3">
      <c r="C66" s="19"/>
      <c r="E66" s="16"/>
    </row>
    <row r="67" spans="3:5" ht="14.25" customHeight="1" x14ac:dyDescent="0.3">
      <c r="C67" s="19"/>
      <c r="E67" s="16"/>
    </row>
    <row r="68" spans="3:5" ht="14.25" customHeight="1" x14ac:dyDescent="0.3">
      <c r="C68" s="19"/>
      <c r="E68" s="16"/>
    </row>
    <row r="69" spans="3:5" ht="14.25" customHeight="1" x14ac:dyDescent="0.3">
      <c r="C69" s="19"/>
      <c r="E69" s="16"/>
    </row>
    <row r="70" spans="3:5" ht="14.25" customHeight="1" x14ac:dyDescent="0.3">
      <c r="C70" s="19"/>
      <c r="E70" s="16"/>
    </row>
    <row r="71" spans="3:5" ht="14.25" customHeight="1" x14ac:dyDescent="0.3">
      <c r="C71" s="19"/>
      <c r="E71" s="16"/>
    </row>
    <row r="72" spans="3:5" ht="14.25" customHeight="1" x14ac:dyDescent="0.3">
      <c r="C72" s="19"/>
      <c r="E72" s="16"/>
    </row>
    <row r="73" spans="3:5" ht="14.25" customHeight="1" x14ac:dyDescent="0.3">
      <c r="C73" s="19"/>
      <c r="E73" s="16"/>
    </row>
    <row r="74" spans="3:5" ht="14.25" customHeight="1" x14ac:dyDescent="0.3">
      <c r="C74" s="19"/>
      <c r="E74" s="16"/>
    </row>
    <row r="75" spans="3:5" ht="14.25" customHeight="1" x14ac:dyDescent="0.3">
      <c r="C75" s="19"/>
      <c r="E75" s="16"/>
    </row>
    <row r="76" spans="3:5" ht="14.25" customHeight="1" x14ac:dyDescent="0.3">
      <c r="C76" s="19"/>
      <c r="E76" s="16"/>
    </row>
    <row r="77" spans="3:5" ht="14.25" customHeight="1" x14ac:dyDescent="0.3">
      <c r="C77" s="19"/>
      <c r="E77" s="16"/>
    </row>
    <row r="78" spans="3:5" ht="14.25" customHeight="1" x14ac:dyDescent="0.3">
      <c r="C78" s="19"/>
      <c r="E78" s="16"/>
    </row>
    <row r="79" spans="3:5" ht="14.25" customHeight="1" x14ac:dyDescent="0.3">
      <c r="C79" s="19"/>
      <c r="E79" s="16"/>
    </row>
    <row r="80" spans="3:5" ht="14.25" customHeight="1" x14ac:dyDescent="0.3">
      <c r="C80" s="19"/>
      <c r="E80" s="16"/>
    </row>
    <row r="81" spans="3:5" ht="14.25" customHeight="1" x14ac:dyDescent="0.3">
      <c r="C81" s="19"/>
      <c r="E81" s="16"/>
    </row>
    <row r="82" spans="3:5" ht="14.25" customHeight="1" x14ac:dyDescent="0.3">
      <c r="C82" s="19"/>
      <c r="E82" s="16"/>
    </row>
    <row r="83" spans="3:5" ht="14.25" customHeight="1" x14ac:dyDescent="0.3">
      <c r="C83" s="19"/>
      <c r="E83" s="16"/>
    </row>
    <row r="84" spans="3:5" ht="14.25" customHeight="1" x14ac:dyDescent="0.3">
      <c r="C84" s="19"/>
      <c r="E84" s="16"/>
    </row>
    <row r="85" spans="3:5" ht="14.25" customHeight="1" x14ac:dyDescent="0.3">
      <c r="C85" s="19"/>
      <c r="E85" s="16"/>
    </row>
    <row r="86" spans="3:5" ht="14.25" customHeight="1" x14ac:dyDescent="0.3">
      <c r="C86" s="19"/>
      <c r="E86" s="16"/>
    </row>
    <row r="87" spans="3:5" ht="14.25" customHeight="1" x14ac:dyDescent="0.3">
      <c r="C87" s="19"/>
      <c r="E87" s="16"/>
    </row>
    <row r="88" spans="3:5" ht="14.25" customHeight="1" x14ac:dyDescent="0.3">
      <c r="C88" s="19"/>
      <c r="E88" s="16"/>
    </row>
    <row r="89" spans="3:5" ht="14.25" customHeight="1" x14ac:dyDescent="0.3">
      <c r="C89" s="19"/>
      <c r="E89" s="16"/>
    </row>
    <row r="90" spans="3:5" ht="14.25" customHeight="1" x14ac:dyDescent="0.3">
      <c r="C90" s="19"/>
      <c r="E90" s="16"/>
    </row>
    <row r="91" spans="3:5" ht="14.25" customHeight="1" x14ac:dyDescent="0.3">
      <c r="C91" s="19"/>
      <c r="E91" s="16"/>
    </row>
    <row r="92" spans="3:5" ht="14.25" customHeight="1" x14ac:dyDescent="0.3">
      <c r="C92" s="19"/>
      <c r="E92" s="16"/>
    </row>
    <row r="93" spans="3:5" ht="14.25" customHeight="1" x14ac:dyDescent="0.3">
      <c r="C93" s="19"/>
      <c r="E93" s="16"/>
    </row>
    <row r="94" spans="3:5" ht="14.25" customHeight="1" x14ac:dyDescent="0.3">
      <c r="C94" s="19"/>
      <c r="E94" s="16"/>
    </row>
    <row r="95" spans="3:5" ht="14.25" customHeight="1" x14ac:dyDescent="0.3">
      <c r="C95" s="19"/>
      <c r="E95" s="16"/>
    </row>
    <row r="96" spans="3:5" ht="14.25" customHeight="1" x14ac:dyDescent="0.3">
      <c r="C96" s="19"/>
      <c r="E96" s="16"/>
    </row>
    <row r="97" spans="3:5" ht="14.25" customHeight="1" x14ac:dyDescent="0.3">
      <c r="C97" s="19"/>
      <c r="E97" s="16"/>
    </row>
    <row r="98" spans="3:5" ht="14.25" customHeight="1" x14ac:dyDescent="0.3">
      <c r="C98" s="19"/>
      <c r="E98" s="16"/>
    </row>
    <row r="99" spans="3:5" ht="14.25" customHeight="1" x14ac:dyDescent="0.3">
      <c r="C99" s="19"/>
      <c r="E99" s="16"/>
    </row>
    <row r="100" spans="3:5" ht="14.25" customHeight="1" x14ac:dyDescent="0.3">
      <c r="C100" s="19"/>
      <c r="E100" s="16"/>
    </row>
    <row r="101" spans="3:5" ht="14.25" customHeight="1" x14ac:dyDescent="0.3">
      <c r="C101" s="19"/>
      <c r="E101" s="16"/>
    </row>
    <row r="102" spans="3:5" ht="14.25" customHeight="1" x14ac:dyDescent="0.3">
      <c r="C102" s="19"/>
      <c r="E102" s="16"/>
    </row>
    <row r="103" spans="3:5" ht="14.25" customHeight="1" x14ac:dyDescent="0.3">
      <c r="C103" s="19"/>
      <c r="E103" s="16"/>
    </row>
    <row r="104" spans="3:5" ht="14.25" customHeight="1" x14ac:dyDescent="0.3">
      <c r="C104" s="19"/>
      <c r="E104" s="16"/>
    </row>
    <row r="105" spans="3:5" ht="14.25" customHeight="1" x14ac:dyDescent="0.3">
      <c r="C105" s="19"/>
      <c r="E105" s="16"/>
    </row>
    <row r="106" spans="3:5" ht="14.25" customHeight="1" x14ac:dyDescent="0.3">
      <c r="C106" s="19"/>
      <c r="E106" s="16"/>
    </row>
    <row r="107" spans="3:5" ht="14.25" customHeight="1" x14ac:dyDescent="0.3">
      <c r="C107" s="19"/>
      <c r="E107" s="16"/>
    </row>
    <row r="108" spans="3:5" ht="14.25" customHeight="1" x14ac:dyDescent="0.3">
      <c r="C108" s="19"/>
      <c r="E108" s="16"/>
    </row>
    <row r="109" spans="3:5" ht="14.25" customHeight="1" x14ac:dyDescent="0.3">
      <c r="C109" s="19"/>
      <c r="E109" s="16"/>
    </row>
    <row r="110" spans="3:5" ht="14.25" customHeight="1" x14ac:dyDescent="0.3">
      <c r="C110" s="19"/>
      <c r="E110" s="16"/>
    </row>
    <row r="111" spans="3:5" ht="14.25" customHeight="1" x14ac:dyDescent="0.3">
      <c r="C111" s="19"/>
      <c r="E111" s="16"/>
    </row>
    <row r="112" spans="3:5" ht="14.25" customHeight="1" x14ac:dyDescent="0.3">
      <c r="C112" s="19"/>
      <c r="E112" s="16"/>
    </row>
    <row r="113" spans="3:5" ht="14.25" customHeight="1" x14ac:dyDescent="0.3">
      <c r="C113" s="19"/>
      <c r="E113" s="16"/>
    </row>
    <row r="114" spans="3:5" ht="14.25" customHeight="1" x14ac:dyDescent="0.3">
      <c r="C114" s="19"/>
      <c r="E114" s="16"/>
    </row>
    <row r="115" spans="3:5" ht="14.25" customHeight="1" x14ac:dyDescent="0.3">
      <c r="C115" s="19"/>
      <c r="E115" s="16"/>
    </row>
    <row r="116" spans="3:5" ht="14.25" customHeight="1" x14ac:dyDescent="0.3">
      <c r="C116" s="19"/>
      <c r="E116" s="16"/>
    </row>
    <row r="117" spans="3:5" ht="14.25" customHeight="1" x14ac:dyDescent="0.3">
      <c r="C117" s="19"/>
      <c r="E117" s="16"/>
    </row>
    <row r="118" spans="3:5" ht="14.25" customHeight="1" x14ac:dyDescent="0.3">
      <c r="C118" s="19"/>
      <c r="E118" s="16"/>
    </row>
    <row r="119" spans="3:5" ht="14.25" customHeight="1" x14ac:dyDescent="0.3">
      <c r="C119" s="19"/>
      <c r="E119" s="16"/>
    </row>
    <row r="120" spans="3:5" ht="14.25" customHeight="1" x14ac:dyDescent="0.3">
      <c r="C120" s="19"/>
      <c r="E120" s="16"/>
    </row>
    <row r="121" spans="3:5" ht="14.25" customHeight="1" x14ac:dyDescent="0.3">
      <c r="C121" s="19"/>
      <c r="E121" s="16"/>
    </row>
    <row r="122" spans="3:5" ht="14.25" customHeight="1" x14ac:dyDescent="0.3">
      <c r="C122" s="19"/>
      <c r="E122" s="16"/>
    </row>
    <row r="123" spans="3:5" ht="14.25" customHeight="1" x14ac:dyDescent="0.3">
      <c r="C123" s="19"/>
      <c r="E123" s="16"/>
    </row>
    <row r="124" spans="3:5" ht="14.25" customHeight="1" x14ac:dyDescent="0.3">
      <c r="C124" s="19"/>
      <c r="E124" s="16"/>
    </row>
    <row r="125" spans="3:5" ht="14.25" customHeight="1" x14ac:dyDescent="0.3">
      <c r="C125" s="19"/>
      <c r="E125" s="16"/>
    </row>
    <row r="126" spans="3:5" ht="14.25" customHeight="1" x14ac:dyDescent="0.3">
      <c r="C126" s="19"/>
      <c r="E126" s="16"/>
    </row>
    <row r="127" spans="3:5" ht="14.25" customHeight="1" x14ac:dyDescent="0.3">
      <c r="C127" s="19"/>
      <c r="E127" s="16"/>
    </row>
    <row r="128" spans="3:5" ht="14.25" customHeight="1" x14ac:dyDescent="0.3">
      <c r="C128" s="19"/>
      <c r="E128" s="16"/>
    </row>
    <row r="129" spans="3:5" ht="14.25" customHeight="1" x14ac:dyDescent="0.3">
      <c r="C129" s="19"/>
      <c r="E129" s="16"/>
    </row>
    <row r="130" spans="3:5" ht="14.25" customHeight="1" x14ac:dyDescent="0.3">
      <c r="C130" s="19"/>
      <c r="E130" s="16"/>
    </row>
    <row r="131" spans="3:5" ht="14.25" customHeight="1" x14ac:dyDescent="0.3">
      <c r="C131" s="19"/>
      <c r="E131" s="16"/>
    </row>
    <row r="132" spans="3:5" ht="14.25" customHeight="1" x14ac:dyDescent="0.3">
      <c r="C132" s="19"/>
      <c r="E132" s="16"/>
    </row>
    <row r="133" spans="3:5" ht="14.25" customHeight="1" x14ac:dyDescent="0.3">
      <c r="C133" s="19"/>
      <c r="E133" s="16"/>
    </row>
    <row r="134" spans="3:5" ht="14.25" customHeight="1" x14ac:dyDescent="0.3">
      <c r="C134" s="19"/>
      <c r="E134" s="16"/>
    </row>
    <row r="135" spans="3:5" ht="14.25" customHeight="1" x14ac:dyDescent="0.3">
      <c r="C135" s="19"/>
      <c r="E135" s="16"/>
    </row>
    <row r="136" spans="3:5" ht="14.25" customHeight="1" x14ac:dyDescent="0.3">
      <c r="C136" s="19"/>
      <c r="E136" s="16"/>
    </row>
    <row r="137" spans="3:5" ht="14.25" customHeight="1" x14ac:dyDescent="0.3">
      <c r="C137" s="19"/>
      <c r="E137" s="16"/>
    </row>
    <row r="138" spans="3:5" ht="14.25" customHeight="1" x14ac:dyDescent="0.3">
      <c r="C138" s="19"/>
      <c r="E138" s="16"/>
    </row>
    <row r="139" spans="3:5" ht="14.25" customHeight="1" x14ac:dyDescent="0.3">
      <c r="C139" s="19"/>
      <c r="E139" s="16"/>
    </row>
    <row r="140" spans="3:5" ht="14.25" customHeight="1" x14ac:dyDescent="0.3">
      <c r="C140" s="19"/>
      <c r="E140" s="16"/>
    </row>
    <row r="141" spans="3:5" ht="14.25" customHeight="1" x14ac:dyDescent="0.3">
      <c r="C141" s="19"/>
      <c r="E141" s="16"/>
    </row>
    <row r="142" spans="3:5" ht="14.25" customHeight="1" x14ac:dyDescent="0.3">
      <c r="C142" s="19"/>
      <c r="E142" s="16"/>
    </row>
    <row r="143" spans="3:5" ht="14.25" customHeight="1" x14ac:dyDescent="0.3">
      <c r="C143" s="19"/>
      <c r="E143" s="16"/>
    </row>
    <row r="144" spans="3:5" ht="14.25" customHeight="1" x14ac:dyDescent="0.3">
      <c r="C144" s="19"/>
      <c r="E144" s="16"/>
    </row>
    <row r="145" spans="3:5" ht="14.25" customHeight="1" x14ac:dyDescent="0.3">
      <c r="C145" s="19"/>
      <c r="E145" s="16"/>
    </row>
    <row r="146" spans="3:5" ht="14.25" customHeight="1" x14ac:dyDescent="0.3">
      <c r="C146" s="19"/>
      <c r="E146" s="16"/>
    </row>
    <row r="147" spans="3:5" ht="14.25" customHeight="1" x14ac:dyDescent="0.3">
      <c r="C147" s="19"/>
      <c r="E147" s="16"/>
    </row>
    <row r="148" spans="3:5" ht="14.25" customHeight="1" x14ac:dyDescent="0.3">
      <c r="C148" s="19"/>
      <c r="E148" s="16"/>
    </row>
    <row r="149" spans="3:5" ht="14.25" customHeight="1" x14ac:dyDescent="0.3">
      <c r="C149" s="19"/>
      <c r="E149" s="16"/>
    </row>
    <row r="150" spans="3:5" ht="14.25" customHeight="1" x14ac:dyDescent="0.3">
      <c r="C150" s="19"/>
      <c r="E150" s="16"/>
    </row>
    <row r="151" spans="3:5" ht="14.25" customHeight="1" x14ac:dyDescent="0.3">
      <c r="C151" s="19"/>
      <c r="E151" s="16"/>
    </row>
    <row r="152" spans="3:5" ht="14.25" customHeight="1" x14ac:dyDescent="0.3">
      <c r="C152" s="19"/>
      <c r="E152" s="16"/>
    </row>
    <row r="153" spans="3:5" ht="14.25" customHeight="1" x14ac:dyDescent="0.3">
      <c r="C153" s="19"/>
      <c r="E153" s="16"/>
    </row>
    <row r="154" spans="3:5" ht="14.25" customHeight="1" x14ac:dyDescent="0.3">
      <c r="C154" s="19"/>
      <c r="E154" s="16"/>
    </row>
    <row r="155" spans="3:5" ht="14.25" customHeight="1" x14ac:dyDescent="0.3">
      <c r="C155" s="19"/>
      <c r="E155" s="16"/>
    </row>
    <row r="156" spans="3:5" ht="14.25" customHeight="1" x14ac:dyDescent="0.3">
      <c r="C156" s="19"/>
      <c r="E156" s="16"/>
    </row>
    <row r="157" spans="3:5" ht="14.25" customHeight="1" x14ac:dyDescent="0.3">
      <c r="C157" s="19"/>
      <c r="E157" s="16"/>
    </row>
    <row r="158" spans="3:5" ht="14.25" customHeight="1" x14ac:dyDescent="0.3">
      <c r="C158" s="19"/>
      <c r="E158" s="16"/>
    </row>
    <row r="159" spans="3:5" ht="14.25" customHeight="1" x14ac:dyDescent="0.3">
      <c r="C159" s="19"/>
      <c r="E159" s="16"/>
    </row>
    <row r="160" spans="3:5" ht="14.25" customHeight="1" x14ac:dyDescent="0.3">
      <c r="C160" s="19"/>
      <c r="E160" s="16"/>
    </row>
    <row r="161" spans="3:5" ht="14.25" customHeight="1" x14ac:dyDescent="0.3">
      <c r="C161" s="19"/>
      <c r="E161" s="16"/>
    </row>
    <row r="162" spans="3:5" ht="14.25" customHeight="1" x14ac:dyDescent="0.3">
      <c r="C162" s="19"/>
      <c r="E162" s="16"/>
    </row>
    <row r="163" spans="3:5" ht="14.25" customHeight="1" x14ac:dyDescent="0.3">
      <c r="C163" s="19"/>
      <c r="E163" s="16"/>
    </row>
    <row r="164" spans="3:5" ht="14.25" customHeight="1" x14ac:dyDescent="0.3">
      <c r="C164" s="19"/>
      <c r="E164" s="16"/>
    </row>
    <row r="165" spans="3:5" ht="14.25" customHeight="1" x14ac:dyDescent="0.3">
      <c r="C165" s="19"/>
      <c r="E165" s="16"/>
    </row>
    <row r="166" spans="3:5" ht="14.25" customHeight="1" x14ac:dyDescent="0.3">
      <c r="C166" s="19"/>
      <c r="E166" s="16"/>
    </row>
    <row r="167" spans="3:5" ht="14.25" customHeight="1" x14ac:dyDescent="0.3">
      <c r="C167" s="19"/>
      <c r="E167" s="16"/>
    </row>
    <row r="168" spans="3:5" ht="14.25" customHeight="1" x14ac:dyDescent="0.3">
      <c r="C168" s="19"/>
      <c r="E168" s="16"/>
    </row>
    <row r="169" spans="3:5" ht="14.25" customHeight="1" x14ac:dyDescent="0.3">
      <c r="C169" s="19"/>
      <c r="E169" s="16"/>
    </row>
    <row r="170" spans="3:5" ht="14.25" customHeight="1" x14ac:dyDescent="0.3">
      <c r="C170" s="19"/>
      <c r="E170" s="16"/>
    </row>
    <row r="171" spans="3:5" ht="14.25" customHeight="1" x14ac:dyDescent="0.3">
      <c r="C171" s="19"/>
      <c r="E171" s="16"/>
    </row>
    <row r="172" spans="3:5" ht="14.25" customHeight="1" x14ac:dyDescent="0.3">
      <c r="C172" s="19"/>
      <c r="E172" s="16"/>
    </row>
    <row r="173" spans="3:5" ht="14.25" customHeight="1" x14ac:dyDescent="0.3">
      <c r="C173" s="19"/>
      <c r="E173" s="16"/>
    </row>
    <row r="174" spans="3:5" ht="14.25" customHeight="1" x14ac:dyDescent="0.3">
      <c r="C174" s="19"/>
      <c r="E174" s="16"/>
    </row>
    <row r="175" spans="3:5" ht="14.25" customHeight="1" x14ac:dyDescent="0.3">
      <c r="C175" s="19"/>
      <c r="E175" s="16"/>
    </row>
    <row r="176" spans="3:5" ht="14.25" customHeight="1" x14ac:dyDescent="0.3">
      <c r="C176" s="19"/>
      <c r="E176" s="16"/>
    </row>
    <row r="177" spans="3:5" ht="14.25" customHeight="1" x14ac:dyDescent="0.3">
      <c r="C177" s="19"/>
      <c r="E177" s="16"/>
    </row>
    <row r="178" spans="3:5" ht="14.25" customHeight="1" x14ac:dyDescent="0.3">
      <c r="C178" s="19"/>
      <c r="E178" s="16"/>
    </row>
    <row r="179" spans="3:5" ht="14.25" customHeight="1" x14ac:dyDescent="0.3">
      <c r="C179" s="19"/>
      <c r="E179" s="16"/>
    </row>
    <row r="180" spans="3:5" ht="14.25" customHeight="1" x14ac:dyDescent="0.3">
      <c r="C180" s="19"/>
      <c r="E180" s="16"/>
    </row>
    <row r="181" spans="3:5" ht="14.25" customHeight="1" x14ac:dyDescent="0.3">
      <c r="C181" s="19"/>
      <c r="E181" s="16"/>
    </row>
    <row r="182" spans="3:5" ht="14.25" customHeight="1" x14ac:dyDescent="0.3">
      <c r="C182" s="19"/>
      <c r="E182" s="16"/>
    </row>
    <row r="183" spans="3:5" ht="14.25" customHeight="1" x14ac:dyDescent="0.3">
      <c r="C183" s="19"/>
      <c r="E183" s="16"/>
    </row>
    <row r="184" spans="3:5" ht="14.25" customHeight="1" x14ac:dyDescent="0.3">
      <c r="C184" s="19"/>
      <c r="E184" s="16"/>
    </row>
    <row r="185" spans="3:5" ht="14.25" customHeight="1" x14ac:dyDescent="0.3">
      <c r="C185" s="19"/>
      <c r="E185" s="16"/>
    </row>
    <row r="186" spans="3:5" ht="14.25" customHeight="1" x14ac:dyDescent="0.3">
      <c r="C186" s="19"/>
      <c r="E186" s="16"/>
    </row>
    <row r="187" spans="3:5" ht="14.25" customHeight="1" x14ac:dyDescent="0.3">
      <c r="C187" s="19"/>
      <c r="E187" s="16"/>
    </row>
    <row r="188" spans="3:5" ht="14.25" customHeight="1" x14ac:dyDescent="0.3">
      <c r="C188" s="19"/>
      <c r="E188" s="16"/>
    </row>
    <row r="189" spans="3:5" ht="14.25" customHeight="1" x14ac:dyDescent="0.3">
      <c r="C189" s="19"/>
      <c r="E189" s="16"/>
    </row>
    <row r="190" spans="3:5" ht="14.25" customHeight="1" x14ac:dyDescent="0.3">
      <c r="C190" s="19"/>
      <c r="E190" s="16"/>
    </row>
    <row r="191" spans="3:5" ht="14.25" customHeight="1" x14ac:dyDescent="0.3">
      <c r="C191" s="19"/>
      <c r="E191" s="16"/>
    </row>
    <row r="192" spans="3:5" ht="14.25" customHeight="1" x14ac:dyDescent="0.3">
      <c r="C192" s="19"/>
      <c r="E192" s="16"/>
    </row>
    <row r="193" spans="3:5" ht="14.25" customHeight="1" x14ac:dyDescent="0.3">
      <c r="C193" s="19"/>
      <c r="E193" s="16"/>
    </row>
    <row r="194" spans="3:5" ht="14.25" customHeight="1" x14ac:dyDescent="0.3">
      <c r="C194" s="19"/>
      <c r="E194" s="16"/>
    </row>
    <row r="195" spans="3:5" ht="14.25" customHeight="1" x14ac:dyDescent="0.3">
      <c r="C195" s="19"/>
      <c r="E195" s="16"/>
    </row>
    <row r="196" spans="3:5" ht="14.25" customHeight="1" x14ac:dyDescent="0.3">
      <c r="C196" s="19"/>
      <c r="E196" s="16"/>
    </row>
    <row r="197" spans="3:5" ht="14.25" customHeight="1" x14ac:dyDescent="0.3">
      <c r="C197" s="19"/>
      <c r="E197" s="16"/>
    </row>
    <row r="198" spans="3:5" ht="14.25" customHeight="1" x14ac:dyDescent="0.3">
      <c r="C198" s="19"/>
      <c r="E198" s="16"/>
    </row>
    <row r="199" spans="3:5" ht="14.25" customHeight="1" x14ac:dyDescent="0.3">
      <c r="C199" s="19"/>
      <c r="E199" s="16"/>
    </row>
    <row r="200" spans="3:5" ht="14.25" customHeight="1" x14ac:dyDescent="0.3">
      <c r="C200" s="19"/>
      <c r="E200" s="16"/>
    </row>
    <row r="201" spans="3:5" ht="14.25" customHeight="1" x14ac:dyDescent="0.3">
      <c r="C201" s="19"/>
      <c r="E201" s="16"/>
    </row>
    <row r="202" spans="3:5" ht="14.25" customHeight="1" x14ac:dyDescent="0.3">
      <c r="C202" s="19"/>
      <c r="E202" s="16"/>
    </row>
    <row r="203" spans="3:5" ht="14.25" customHeight="1" x14ac:dyDescent="0.3">
      <c r="C203" s="19"/>
      <c r="E203" s="16"/>
    </row>
    <row r="204" spans="3:5" ht="14.25" customHeight="1" x14ac:dyDescent="0.3">
      <c r="C204" s="19"/>
      <c r="E204" s="16"/>
    </row>
    <row r="205" spans="3:5" ht="14.25" customHeight="1" x14ac:dyDescent="0.3">
      <c r="C205" s="19"/>
      <c r="E205" s="16"/>
    </row>
    <row r="206" spans="3:5" ht="14.25" customHeight="1" x14ac:dyDescent="0.3">
      <c r="C206" s="19"/>
      <c r="E206" s="16"/>
    </row>
    <row r="207" spans="3:5" ht="14.25" customHeight="1" x14ac:dyDescent="0.3">
      <c r="C207" s="19"/>
      <c r="E207" s="16"/>
    </row>
    <row r="208" spans="3:5" ht="14.25" customHeight="1" x14ac:dyDescent="0.3">
      <c r="C208" s="19"/>
      <c r="E208" s="16"/>
    </row>
    <row r="209" spans="3:5" ht="14.25" customHeight="1" x14ac:dyDescent="0.3">
      <c r="C209" s="19"/>
      <c r="E209" s="16"/>
    </row>
    <row r="210" spans="3:5" ht="14.25" customHeight="1" x14ac:dyDescent="0.3">
      <c r="C210" s="19"/>
      <c r="E210" s="16"/>
    </row>
    <row r="211" spans="3:5" ht="14.25" customHeight="1" x14ac:dyDescent="0.3">
      <c r="C211" s="19"/>
      <c r="E211" s="16"/>
    </row>
    <row r="212" spans="3:5" ht="14.25" customHeight="1" x14ac:dyDescent="0.3">
      <c r="C212" s="19"/>
      <c r="E212" s="16"/>
    </row>
    <row r="213" spans="3:5" ht="14.25" customHeight="1" x14ac:dyDescent="0.3">
      <c r="C213" s="19"/>
      <c r="E213" s="16"/>
    </row>
    <row r="214" spans="3:5" ht="14.25" customHeight="1" x14ac:dyDescent="0.3">
      <c r="C214" s="19"/>
      <c r="E214" s="16"/>
    </row>
    <row r="215" spans="3:5" ht="14.25" customHeight="1" x14ac:dyDescent="0.3">
      <c r="C215" s="19"/>
      <c r="E215" s="16"/>
    </row>
    <row r="216" spans="3:5" ht="14.25" customHeight="1" x14ac:dyDescent="0.3">
      <c r="C216" s="19"/>
      <c r="E216" s="16"/>
    </row>
    <row r="217" spans="3:5" ht="14.25" customHeight="1" x14ac:dyDescent="0.3">
      <c r="C217" s="19"/>
      <c r="E217" s="16"/>
    </row>
    <row r="218" spans="3:5" ht="14.25" customHeight="1" x14ac:dyDescent="0.3">
      <c r="C218" s="19"/>
      <c r="E218" s="16"/>
    </row>
    <row r="219" spans="3:5" ht="14.25" customHeight="1" x14ac:dyDescent="0.3">
      <c r="C219" s="19"/>
      <c r="E219" s="16"/>
    </row>
    <row r="220" spans="3:5" ht="14.25" customHeight="1" x14ac:dyDescent="0.3">
      <c r="C220" s="19"/>
      <c r="E220" s="16"/>
    </row>
    <row r="221" spans="3:5" ht="14.25" customHeight="1" x14ac:dyDescent="0.3">
      <c r="C221" s="19"/>
      <c r="E221" s="16"/>
    </row>
    <row r="222" spans="3:5" ht="14.25" customHeight="1" x14ac:dyDescent="0.3">
      <c r="C222" s="19"/>
      <c r="E222" s="16"/>
    </row>
    <row r="223" spans="3:5" ht="14.25" customHeight="1" x14ac:dyDescent="0.3">
      <c r="C223" s="19"/>
      <c r="E223" s="16"/>
    </row>
    <row r="224" spans="3:5" ht="14.25" customHeight="1" x14ac:dyDescent="0.3">
      <c r="C224" s="19"/>
      <c r="E224" s="16"/>
    </row>
    <row r="225" spans="3:5" ht="14.25" customHeight="1" x14ac:dyDescent="0.3">
      <c r="C225" s="19"/>
      <c r="E225" s="16"/>
    </row>
    <row r="226" spans="3:5" ht="14.25" customHeight="1" x14ac:dyDescent="0.3">
      <c r="C226" s="19"/>
      <c r="E226" s="16"/>
    </row>
    <row r="227" spans="3:5" ht="14.25" customHeight="1" x14ac:dyDescent="0.3">
      <c r="C227" s="19"/>
      <c r="E227" s="16"/>
    </row>
    <row r="228" spans="3:5" ht="14.25" customHeight="1" x14ac:dyDescent="0.3">
      <c r="C228" s="19"/>
      <c r="E228" s="16"/>
    </row>
    <row r="229" spans="3:5" ht="14.25" customHeight="1" x14ac:dyDescent="0.3">
      <c r="C229" s="19"/>
      <c r="E229" s="16"/>
    </row>
    <row r="230" spans="3:5" ht="14.25" customHeight="1" x14ac:dyDescent="0.3">
      <c r="C230" s="19"/>
      <c r="E230" s="16"/>
    </row>
    <row r="231" spans="3:5" ht="14.25" customHeight="1" x14ac:dyDescent="0.3">
      <c r="C231" s="19"/>
      <c r="E231" s="16"/>
    </row>
    <row r="232" spans="3:5" ht="14.25" customHeight="1" x14ac:dyDescent="0.3">
      <c r="C232" s="19"/>
      <c r="E232" s="16"/>
    </row>
    <row r="233" spans="3:5" ht="14.25" customHeight="1" x14ac:dyDescent="0.3">
      <c r="C233" s="19"/>
      <c r="E233" s="16"/>
    </row>
    <row r="234" spans="3:5" ht="14.25" customHeight="1" x14ac:dyDescent="0.3">
      <c r="C234" s="19"/>
      <c r="E234" s="16"/>
    </row>
    <row r="235" spans="3:5" ht="14.25" customHeight="1" x14ac:dyDescent="0.3">
      <c r="C235" s="19"/>
      <c r="E235" s="16"/>
    </row>
    <row r="236" spans="3:5" ht="14.25" customHeight="1" x14ac:dyDescent="0.3">
      <c r="C236" s="19"/>
      <c r="E236" s="16"/>
    </row>
    <row r="237" spans="3:5" ht="14.25" customHeight="1" x14ac:dyDescent="0.3">
      <c r="C237" s="19"/>
      <c r="E237" s="16"/>
    </row>
    <row r="238" spans="3:5" ht="14.25" customHeight="1" x14ac:dyDescent="0.3">
      <c r="C238" s="19"/>
      <c r="E238" s="16"/>
    </row>
    <row r="239" spans="3:5" ht="14.25" customHeight="1" x14ac:dyDescent="0.3">
      <c r="C239" s="19"/>
      <c r="E239" s="16"/>
    </row>
    <row r="240" spans="3:5" ht="14.25" customHeight="1" x14ac:dyDescent="0.3">
      <c r="C240" s="19"/>
      <c r="E240" s="16"/>
    </row>
    <row r="241" spans="3:5" ht="14.25" customHeight="1" x14ac:dyDescent="0.3">
      <c r="C241" s="19"/>
      <c r="E241" s="16"/>
    </row>
    <row r="242" spans="3:5" ht="14.25" customHeight="1" x14ac:dyDescent="0.3">
      <c r="C242" s="19"/>
      <c r="E242" s="16"/>
    </row>
    <row r="243" spans="3:5" ht="14.25" customHeight="1" x14ac:dyDescent="0.3">
      <c r="C243" s="19"/>
      <c r="E243" s="16"/>
    </row>
    <row r="244" spans="3:5" ht="14.25" customHeight="1" x14ac:dyDescent="0.3">
      <c r="C244" s="19"/>
      <c r="E244" s="16"/>
    </row>
    <row r="245" spans="3:5" ht="14.25" customHeight="1" x14ac:dyDescent="0.3">
      <c r="C245" s="19"/>
      <c r="E245" s="16"/>
    </row>
    <row r="246" spans="3:5" ht="14.25" customHeight="1" x14ac:dyDescent="0.3">
      <c r="C246" s="19"/>
      <c r="E246" s="16"/>
    </row>
    <row r="247" spans="3:5" ht="14.25" customHeight="1" x14ac:dyDescent="0.3">
      <c r="C247" s="19"/>
      <c r="E247" s="16"/>
    </row>
    <row r="248" spans="3:5" ht="14.25" customHeight="1" x14ac:dyDescent="0.3">
      <c r="C248" s="19"/>
      <c r="E248" s="16"/>
    </row>
    <row r="249" spans="3:5" ht="14.25" customHeight="1" x14ac:dyDescent="0.3">
      <c r="C249" s="19"/>
      <c r="E249" s="16"/>
    </row>
    <row r="250" spans="3:5" ht="14.25" customHeight="1" x14ac:dyDescent="0.3">
      <c r="C250" s="19"/>
      <c r="E250" s="16"/>
    </row>
    <row r="251" spans="3:5" ht="14.25" customHeight="1" x14ac:dyDescent="0.3">
      <c r="C251" s="19"/>
      <c r="E251" s="16"/>
    </row>
    <row r="252" spans="3:5" ht="14.25" customHeight="1" x14ac:dyDescent="0.3">
      <c r="C252" s="19"/>
      <c r="E252" s="16"/>
    </row>
    <row r="253" spans="3:5" ht="14.25" customHeight="1" x14ac:dyDescent="0.3">
      <c r="C253" s="19"/>
      <c r="E253" s="16"/>
    </row>
    <row r="254" spans="3:5" ht="14.25" customHeight="1" x14ac:dyDescent="0.3">
      <c r="C254" s="19"/>
      <c r="E254" s="16"/>
    </row>
    <row r="255" spans="3:5" ht="14.25" customHeight="1" x14ac:dyDescent="0.3">
      <c r="C255" s="19"/>
      <c r="E255" s="16"/>
    </row>
    <row r="256" spans="3:5" ht="14.25" customHeight="1" x14ac:dyDescent="0.3">
      <c r="C256" s="19"/>
      <c r="E256" s="16"/>
    </row>
    <row r="257" spans="3:5" ht="14.25" customHeight="1" x14ac:dyDescent="0.3">
      <c r="C257" s="19"/>
      <c r="E257" s="16"/>
    </row>
    <row r="258" spans="3:5" ht="14.25" customHeight="1" x14ac:dyDescent="0.3">
      <c r="C258" s="19"/>
      <c r="E258" s="16"/>
    </row>
    <row r="259" spans="3:5" ht="14.25" customHeight="1" x14ac:dyDescent="0.3">
      <c r="C259" s="19"/>
      <c r="E259" s="16"/>
    </row>
    <row r="260" spans="3:5" ht="14.25" customHeight="1" x14ac:dyDescent="0.3">
      <c r="C260" s="19"/>
      <c r="E260" s="16"/>
    </row>
    <row r="261" spans="3:5" ht="14.25" customHeight="1" x14ac:dyDescent="0.3">
      <c r="C261" s="19"/>
      <c r="E261" s="16"/>
    </row>
    <row r="262" spans="3:5" ht="14.25" customHeight="1" x14ac:dyDescent="0.3">
      <c r="C262" s="19"/>
      <c r="E262" s="16"/>
    </row>
    <row r="263" spans="3:5" ht="14.25" customHeight="1" x14ac:dyDescent="0.3">
      <c r="C263" s="19"/>
      <c r="E263" s="16"/>
    </row>
    <row r="264" spans="3:5" ht="14.25" customHeight="1" x14ac:dyDescent="0.3">
      <c r="C264" s="19"/>
      <c r="E264" s="16"/>
    </row>
    <row r="265" spans="3:5" ht="14.25" customHeight="1" x14ac:dyDescent="0.3">
      <c r="C265" s="19"/>
      <c r="E265" s="16"/>
    </row>
    <row r="266" spans="3:5" ht="14.25" customHeight="1" x14ac:dyDescent="0.3">
      <c r="C266" s="19"/>
      <c r="E266" s="16"/>
    </row>
    <row r="267" spans="3:5" ht="14.25" customHeight="1" x14ac:dyDescent="0.3">
      <c r="C267" s="19"/>
      <c r="E267" s="16"/>
    </row>
    <row r="268" spans="3:5" ht="14.25" customHeight="1" x14ac:dyDescent="0.3">
      <c r="C268" s="19"/>
      <c r="E268" s="16"/>
    </row>
    <row r="269" spans="3:5" ht="14.25" customHeight="1" x14ac:dyDescent="0.3">
      <c r="C269" s="19"/>
      <c r="E269" s="16"/>
    </row>
    <row r="270" spans="3:5" ht="14.25" customHeight="1" x14ac:dyDescent="0.3">
      <c r="C270" s="19"/>
      <c r="E270" s="16"/>
    </row>
    <row r="271" spans="3:5" ht="14.25" customHeight="1" x14ac:dyDescent="0.3">
      <c r="C271" s="19"/>
      <c r="E271" s="16"/>
    </row>
    <row r="272" spans="3:5" ht="14.25" customHeight="1" x14ac:dyDescent="0.3">
      <c r="C272" s="19"/>
      <c r="E272" s="16"/>
    </row>
    <row r="273" spans="3:5" ht="14.25" customHeight="1" x14ac:dyDescent="0.3">
      <c r="C273" s="19"/>
      <c r="E273" s="16"/>
    </row>
    <row r="274" spans="3:5" ht="14.25" customHeight="1" x14ac:dyDescent="0.3">
      <c r="C274" s="19"/>
      <c r="E274" s="16"/>
    </row>
    <row r="275" spans="3:5" ht="14.25" customHeight="1" x14ac:dyDescent="0.3">
      <c r="C275" s="19"/>
      <c r="E275" s="16"/>
    </row>
    <row r="276" spans="3:5" ht="14.25" customHeight="1" x14ac:dyDescent="0.3">
      <c r="C276" s="19"/>
      <c r="E276" s="16"/>
    </row>
    <row r="277" spans="3:5" ht="14.25" customHeight="1" x14ac:dyDescent="0.3">
      <c r="C277" s="19"/>
      <c r="E277" s="16"/>
    </row>
    <row r="278" spans="3:5" ht="14.25" customHeight="1" x14ac:dyDescent="0.3">
      <c r="C278" s="19"/>
      <c r="E278" s="16"/>
    </row>
    <row r="279" spans="3:5" ht="14.25" customHeight="1" x14ac:dyDescent="0.3">
      <c r="C279" s="19"/>
      <c r="E279" s="16"/>
    </row>
    <row r="280" spans="3:5" ht="14.25" customHeight="1" x14ac:dyDescent="0.3">
      <c r="C280" s="19"/>
      <c r="E280" s="16"/>
    </row>
    <row r="281" spans="3:5" ht="14.25" customHeight="1" x14ac:dyDescent="0.3">
      <c r="C281" s="19"/>
      <c r="E281" s="16"/>
    </row>
    <row r="282" spans="3:5" ht="14.25" customHeight="1" x14ac:dyDescent="0.3">
      <c r="C282" s="19"/>
      <c r="E282" s="16"/>
    </row>
    <row r="283" spans="3:5" ht="14.25" customHeight="1" x14ac:dyDescent="0.3">
      <c r="C283" s="19"/>
      <c r="E283" s="16"/>
    </row>
    <row r="284" spans="3:5" ht="14.25" customHeight="1" x14ac:dyDescent="0.3">
      <c r="C284" s="19"/>
      <c r="E284" s="16"/>
    </row>
    <row r="285" spans="3:5" ht="14.25" customHeight="1" x14ac:dyDescent="0.3">
      <c r="C285" s="19"/>
      <c r="E285" s="16"/>
    </row>
    <row r="286" spans="3:5" ht="14.25" customHeight="1" x14ac:dyDescent="0.3">
      <c r="C286" s="19"/>
      <c r="E286" s="16"/>
    </row>
    <row r="287" spans="3:5" ht="14.25" customHeight="1" x14ac:dyDescent="0.3">
      <c r="C287" s="19"/>
      <c r="E287" s="16"/>
    </row>
    <row r="288" spans="3:5" ht="14.25" customHeight="1" x14ac:dyDescent="0.3">
      <c r="C288" s="19"/>
      <c r="E288" s="16"/>
    </row>
    <row r="289" spans="3:5" ht="14.25" customHeight="1" x14ac:dyDescent="0.3">
      <c r="C289" s="19"/>
      <c r="E289" s="16"/>
    </row>
    <row r="290" spans="3:5" ht="14.25" customHeight="1" x14ac:dyDescent="0.3">
      <c r="C290" s="19"/>
      <c r="E290" s="16"/>
    </row>
    <row r="291" spans="3:5" ht="14.25" customHeight="1" x14ac:dyDescent="0.3">
      <c r="C291" s="19"/>
      <c r="E291" s="16"/>
    </row>
    <row r="292" spans="3:5" ht="14.25" customHeight="1" x14ac:dyDescent="0.3">
      <c r="C292" s="19"/>
      <c r="E292" s="16"/>
    </row>
    <row r="293" spans="3:5" ht="14.25" customHeight="1" x14ac:dyDescent="0.3">
      <c r="C293" s="19"/>
      <c r="E293" s="16"/>
    </row>
    <row r="294" spans="3:5" ht="14.25" customHeight="1" x14ac:dyDescent="0.3">
      <c r="C294" s="19"/>
      <c r="E294" s="16"/>
    </row>
    <row r="295" spans="3:5" ht="14.25" customHeight="1" x14ac:dyDescent="0.3">
      <c r="C295" s="19"/>
      <c r="E295" s="16"/>
    </row>
    <row r="296" spans="3:5" ht="14.25" customHeight="1" x14ac:dyDescent="0.3">
      <c r="C296" s="19"/>
      <c r="E296" s="16"/>
    </row>
    <row r="297" spans="3:5" ht="14.25" customHeight="1" x14ac:dyDescent="0.3">
      <c r="C297" s="19"/>
      <c r="E297" s="16"/>
    </row>
    <row r="298" spans="3:5" ht="14.25" customHeight="1" x14ac:dyDescent="0.3">
      <c r="C298" s="19"/>
      <c r="E298" s="16"/>
    </row>
    <row r="299" spans="3:5" ht="14.25" customHeight="1" x14ac:dyDescent="0.3">
      <c r="C299" s="19"/>
      <c r="E299" s="16"/>
    </row>
    <row r="300" spans="3:5" ht="14.25" customHeight="1" x14ac:dyDescent="0.3">
      <c r="C300" s="19"/>
      <c r="E300" s="16"/>
    </row>
    <row r="301" spans="3:5" ht="14.25" customHeight="1" x14ac:dyDescent="0.3">
      <c r="C301" s="19"/>
      <c r="E301" s="16"/>
    </row>
    <row r="302" spans="3:5" ht="14.25" customHeight="1" x14ac:dyDescent="0.3">
      <c r="C302" s="19"/>
      <c r="E302" s="16"/>
    </row>
    <row r="303" spans="3:5" ht="14.25" customHeight="1" x14ac:dyDescent="0.3">
      <c r="C303" s="19"/>
      <c r="E303" s="16"/>
    </row>
    <row r="304" spans="3:5" ht="14.25" customHeight="1" x14ac:dyDescent="0.3">
      <c r="C304" s="19"/>
      <c r="E304" s="16"/>
    </row>
    <row r="305" spans="3:5" ht="14.25" customHeight="1" x14ac:dyDescent="0.3">
      <c r="C305" s="19"/>
      <c r="E305" s="16"/>
    </row>
    <row r="306" spans="3:5" ht="14.25" customHeight="1" x14ac:dyDescent="0.3">
      <c r="C306" s="19"/>
      <c r="E306" s="16"/>
    </row>
    <row r="307" spans="3:5" ht="14.25" customHeight="1" x14ac:dyDescent="0.3">
      <c r="C307" s="19"/>
      <c r="E307" s="16"/>
    </row>
    <row r="308" spans="3:5" ht="14.25" customHeight="1" x14ac:dyDescent="0.3">
      <c r="C308" s="19"/>
      <c r="E308" s="16"/>
    </row>
    <row r="309" spans="3:5" ht="14.25" customHeight="1" x14ac:dyDescent="0.3">
      <c r="C309" s="19"/>
      <c r="E309" s="16"/>
    </row>
    <row r="310" spans="3:5" ht="14.25" customHeight="1" x14ac:dyDescent="0.3">
      <c r="C310" s="19"/>
      <c r="E310" s="16"/>
    </row>
    <row r="311" spans="3:5" ht="14.25" customHeight="1" x14ac:dyDescent="0.3">
      <c r="C311" s="19"/>
      <c r="E311" s="16"/>
    </row>
    <row r="312" spans="3:5" ht="14.25" customHeight="1" x14ac:dyDescent="0.3">
      <c r="C312" s="19"/>
      <c r="E312" s="16"/>
    </row>
    <row r="313" spans="3:5" ht="14.25" customHeight="1" x14ac:dyDescent="0.3">
      <c r="C313" s="19"/>
      <c r="E313" s="16"/>
    </row>
    <row r="314" spans="3:5" ht="14.25" customHeight="1" x14ac:dyDescent="0.3">
      <c r="C314" s="19"/>
      <c r="E314" s="16"/>
    </row>
    <row r="315" spans="3:5" ht="14.25" customHeight="1" x14ac:dyDescent="0.3">
      <c r="C315" s="19"/>
      <c r="E315" s="16"/>
    </row>
    <row r="316" spans="3:5" ht="14.25" customHeight="1" x14ac:dyDescent="0.3">
      <c r="C316" s="19"/>
      <c r="E316" s="16"/>
    </row>
    <row r="317" spans="3:5" ht="14.25" customHeight="1" x14ac:dyDescent="0.3">
      <c r="C317" s="19"/>
      <c r="E317" s="16"/>
    </row>
    <row r="318" spans="3:5" ht="14.25" customHeight="1" x14ac:dyDescent="0.3">
      <c r="C318" s="19"/>
      <c r="E318" s="16"/>
    </row>
    <row r="319" spans="3:5" ht="14.25" customHeight="1" x14ac:dyDescent="0.3">
      <c r="C319" s="19"/>
      <c r="E319" s="16"/>
    </row>
    <row r="320" spans="3:5" ht="14.25" customHeight="1" x14ac:dyDescent="0.3">
      <c r="C320" s="19"/>
      <c r="E320" s="16"/>
    </row>
    <row r="321" spans="3:5" ht="14.25" customHeight="1" x14ac:dyDescent="0.3">
      <c r="C321" s="19"/>
      <c r="E321" s="16"/>
    </row>
    <row r="322" spans="3:5" ht="14.25" customHeight="1" x14ac:dyDescent="0.3">
      <c r="C322" s="19"/>
      <c r="E322" s="16"/>
    </row>
    <row r="323" spans="3:5" ht="14.25" customHeight="1" x14ac:dyDescent="0.3">
      <c r="C323" s="19"/>
      <c r="E323" s="16"/>
    </row>
    <row r="324" spans="3:5" ht="14.25" customHeight="1" x14ac:dyDescent="0.3">
      <c r="C324" s="19"/>
      <c r="E324" s="16"/>
    </row>
    <row r="325" spans="3:5" ht="14.25" customHeight="1" x14ac:dyDescent="0.3">
      <c r="C325" s="19"/>
      <c r="E325" s="16"/>
    </row>
    <row r="326" spans="3:5" ht="14.25" customHeight="1" x14ac:dyDescent="0.3">
      <c r="C326" s="19"/>
      <c r="E326" s="16"/>
    </row>
    <row r="327" spans="3:5" ht="14.25" customHeight="1" x14ac:dyDescent="0.3">
      <c r="C327" s="19"/>
      <c r="E327" s="16"/>
    </row>
    <row r="328" spans="3:5" ht="14.25" customHeight="1" x14ac:dyDescent="0.3">
      <c r="C328" s="19"/>
      <c r="E328" s="16"/>
    </row>
    <row r="329" spans="3:5" ht="14.25" customHeight="1" x14ac:dyDescent="0.3">
      <c r="C329" s="19"/>
      <c r="E329" s="16"/>
    </row>
    <row r="330" spans="3:5" ht="14.25" customHeight="1" x14ac:dyDescent="0.3">
      <c r="C330" s="19"/>
      <c r="E330" s="16"/>
    </row>
    <row r="331" spans="3:5" ht="14.25" customHeight="1" x14ac:dyDescent="0.3">
      <c r="C331" s="19"/>
      <c r="E331" s="16"/>
    </row>
    <row r="332" spans="3:5" ht="14.25" customHeight="1" x14ac:dyDescent="0.3">
      <c r="C332" s="19"/>
      <c r="E332" s="16"/>
    </row>
    <row r="333" spans="3:5" ht="14.25" customHeight="1" x14ac:dyDescent="0.3">
      <c r="C333" s="19"/>
      <c r="E333" s="16"/>
    </row>
    <row r="334" spans="3:5" ht="14.25" customHeight="1" x14ac:dyDescent="0.3">
      <c r="C334" s="19"/>
      <c r="E334" s="16"/>
    </row>
    <row r="335" spans="3:5" ht="14.25" customHeight="1" x14ac:dyDescent="0.3">
      <c r="C335" s="19"/>
      <c r="E335" s="16"/>
    </row>
    <row r="336" spans="3:5" ht="14.25" customHeight="1" x14ac:dyDescent="0.3">
      <c r="C336" s="19"/>
      <c r="E336" s="16"/>
    </row>
    <row r="337" spans="3:5" ht="14.25" customHeight="1" x14ac:dyDescent="0.3">
      <c r="C337" s="19"/>
      <c r="E337" s="16"/>
    </row>
    <row r="338" spans="3:5" ht="14.25" customHeight="1" x14ac:dyDescent="0.3">
      <c r="C338" s="19"/>
      <c r="E338" s="16"/>
    </row>
    <row r="339" spans="3:5" ht="14.25" customHeight="1" x14ac:dyDescent="0.3">
      <c r="C339" s="19"/>
      <c r="E339" s="16"/>
    </row>
    <row r="340" spans="3:5" ht="14.25" customHeight="1" x14ac:dyDescent="0.3">
      <c r="C340" s="19"/>
      <c r="E340" s="16"/>
    </row>
    <row r="341" spans="3:5" ht="14.25" customHeight="1" x14ac:dyDescent="0.3">
      <c r="C341" s="19"/>
      <c r="E341" s="16"/>
    </row>
    <row r="342" spans="3:5" ht="14.25" customHeight="1" x14ac:dyDescent="0.3">
      <c r="C342" s="19"/>
      <c r="E342" s="16"/>
    </row>
    <row r="343" spans="3:5" ht="14.25" customHeight="1" x14ac:dyDescent="0.3">
      <c r="C343" s="19"/>
      <c r="E343" s="16"/>
    </row>
    <row r="344" spans="3:5" ht="14.25" customHeight="1" x14ac:dyDescent="0.3">
      <c r="C344" s="19"/>
      <c r="E344" s="16"/>
    </row>
    <row r="345" spans="3:5" ht="14.25" customHeight="1" x14ac:dyDescent="0.3">
      <c r="C345" s="19"/>
      <c r="E345" s="16"/>
    </row>
    <row r="346" spans="3:5" ht="14.25" customHeight="1" x14ac:dyDescent="0.3">
      <c r="C346" s="19"/>
      <c r="E346" s="16"/>
    </row>
    <row r="347" spans="3:5" ht="14.25" customHeight="1" x14ac:dyDescent="0.3">
      <c r="C347" s="19"/>
      <c r="E347" s="16"/>
    </row>
    <row r="348" spans="3:5" ht="14.25" customHeight="1" x14ac:dyDescent="0.3">
      <c r="C348" s="19"/>
      <c r="E348" s="16"/>
    </row>
    <row r="349" spans="3:5" ht="14.25" customHeight="1" x14ac:dyDescent="0.3">
      <c r="C349" s="19"/>
      <c r="E349" s="16"/>
    </row>
    <row r="350" spans="3:5" ht="14.25" customHeight="1" x14ac:dyDescent="0.3">
      <c r="C350" s="19"/>
      <c r="E350" s="16"/>
    </row>
    <row r="351" spans="3:5" ht="14.25" customHeight="1" x14ac:dyDescent="0.3">
      <c r="C351" s="19"/>
      <c r="E351" s="16"/>
    </row>
    <row r="352" spans="3:5" ht="14.25" customHeight="1" x14ac:dyDescent="0.3">
      <c r="C352" s="19"/>
      <c r="E352" s="16"/>
    </row>
    <row r="353" spans="3:5" ht="14.25" customHeight="1" x14ac:dyDescent="0.3">
      <c r="C353" s="19"/>
      <c r="E353" s="16"/>
    </row>
    <row r="354" spans="3:5" ht="14.25" customHeight="1" x14ac:dyDescent="0.3">
      <c r="C354" s="19"/>
      <c r="E354" s="16"/>
    </row>
    <row r="355" spans="3:5" ht="14.25" customHeight="1" x14ac:dyDescent="0.3">
      <c r="C355" s="19"/>
      <c r="E355" s="16"/>
    </row>
    <row r="356" spans="3:5" ht="14.25" customHeight="1" x14ac:dyDescent="0.3">
      <c r="C356" s="19"/>
      <c r="E356" s="16"/>
    </row>
    <row r="357" spans="3:5" ht="14.25" customHeight="1" x14ac:dyDescent="0.3">
      <c r="C357" s="19"/>
      <c r="E357" s="16"/>
    </row>
    <row r="358" spans="3:5" ht="14.25" customHeight="1" x14ac:dyDescent="0.3">
      <c r="C358" s="19"/>
      <c r="E358" s="16"/>
    </row>
    <row r="359" spans="3:5" ht="14.25" customHeight="1" x14ac:dyDescent="0.3">
      <c r="C359" s="19"/>
      <c r="E359" s="16"/>
    </row>
    <row r="360" spans="3:5" ht="14.25" customHeight="1" x14ac:dyDescent="0.3">
      <c r="C360" s="19"/>
      <c r="E360" s="16"/>
    </row>
    <row r="361" spans="3:5" ht="14.25" customHeight="1" x14ac:dyDescent="0.3">
      <c r="C361" s="19"/>
      <c r="E361" s="16"/>
    </row>
    <row r="362" spans="3:5" ht="14.25" customHeight="1" x14ac:dyDescent="0.3">
      <c r="C362" s="19"/>
      <c r="E362" s="16"/>
    </row>
    <row r="363" spans="3:5" ht="14.25" customHeight="1" x14ac:dyDescent="0.3">
      <c r="C363" s="19"/>
      <c r="E363" s="16"/>
    </row>
    <row r="364" spans="3:5" ht="14.25" customHeight="1" x14ac:dyDescent="0.3">
      <c r="C364" s="19"/>
      <c r="E364" s="16"/>
    </row>
    <row r="365" spans="3:5" ht="14.25" customHeight="1" x14ac:dyDescent="0.3">
      <c r="C365" s="19"/>
      <c r="E365" s="16"/>
    </row>
    <row r="366" spans="3:5" ht="14.25" customHeight="1" x14ac:dyDescent="0.3">
      <c r="C366" s="19"/>
      <c r="E366" s="16"/>
    </row>
    <row r="367" spans="3:5" ht="14.25" customHeight="1" x14ac:dyDescent="0.3">
      <c r="C367" s="19"/>
      <c r="E367" s="16"/>
    </row>
    <row r="368" spans="3:5" ht="14.25" customHeight="1" x14ac:dyDescent="0.3">
      <c r="C368" s="19"/>
      <c r="E368" s="16"/>
    </row>
    <row r="369" spans="3:5" ht="14.25" customHeight="1" x14ac:dyDescent="0.3">
      <c r="C369" s="19"/>
      <c r="E369" s="16"/>
    </row>
    <row r="370" spans="3:5" ht="14.25" customHeight="1" x14ac:dyDescent="0.3">
      <c r="C370" s="19"/>
      <c r="E370" s="16"/>
    </row>
    <row r="371" spans="3:5" ht="14.25" customHeight="1" x14ac:dyDescent="0.3">
      <c r="C371" s="19"/>
      <c r="E371" s="16"/>
    </row>
    <row r="372" spans="3:5" ht="14.25" customHeight="1" x14ac:dyDescent="0.3">
      <c r="C372" s="19"/>
      <c r="E372" s="16"/>
    </row>
    <row r="373" spans="3:5" ht="14.25" customHeight="1" x14ac:dyDescent="0.3">
      <c r="C373" s="19"/>
      <c r="E373" s="16"/>
    </row>
    <row r="374" spans="3:5" ht="14.25" customHeight="1" x14ac:dyDescent="0.3">
      <c r="C374" s="19"/>
      <c r="E374" s="16"/>
    </row>
    <row r="375" spans="3:5" ht="14.25" customHeight="1" x14ac:dyDescent="0.3">
      <c r="C375" s="19"/>
      <c r="E375" s="16"/>
    </row>
    <row r="376" spans="3:5" ht="14.25" customHeight="1" x14ac:dyDescent="0.3">
      <c r="C376" s="19"/>
      <c r="E376" s="16"/>
    </row>
    <row r="377" spans="3:5" ht="14.25" customHeight="1" x14ac:dyDescent="0.3">
      <c r="C377" s="19"/>
      <c r="E377" s="16"/>
    </row>
    <row r="378" spans="3:5" ht="14.25" customHeight="1" x14ac:dyDescent="0.3">
      <c r="C378" s="19"/>
      <c r="E378" s="16"/>
    </row>
    <row r="379" spans="3:5" ht="14.25" customHeight="1" x14ac:dyDescent="0.3">
      <c r="C379" s="19"/>
      <c r="E379" s="16"/>
    </row>
    <row r="380" spans="3:5" ht="14.25" customHeight="1" x14ac:dyDescent="0.3">
      <c r="C380" s="19"/>
      <c r="E380" s="16"/>
    </row>
    <row r="381" spans="3:5" ht="14.25" customHeight="1" x14ac:dyDescent="0.3">
      <c r="C381" s="19"/>
      <c r="E381" s="16"/>
    </row>
    <row r="382" spans="3:5" ht="14.25" customHeight="1" x14ac:dyDescent="0.3">
      <c r="C382" s="19"/>
      <c r="E382" s="16"/>
    </row>
    <row r="383" spans="3:5" ht="14.25" customHeight="1" x14ac:dyDescent="0.3">
      <c r="C383" s="19"/>
      <c r="E383" s="16"/>
    </row>
    <row r="384" spans="3:5" ht="14.25" customHeight="1" x14ac:dyDescent="0.3">
      <c r="C384" s="19"/>
      <c r="E384" s="16"/>
    </row>
    <row r="385" spans="3:5" ht="14.25" customHeight="1" x14ac:dyDescent="0.3">
      <c r="C385" s="19"/>
      <c r="E385" s="16"/>
    </row>
    <row r="386" spans="3:5" ht="14.25" customHeight="1" x14ac:dyDescent="0.3">
      <c r="C386" s="19"/>
      <c r="E386" s="16"/>
    </row>
    <row r="387" spans="3:5" ht="14.25" customHeight="1" x14ac:dyDescent="0.3">
      <c r="C387" s="19"/>
      <c r="E387" s="16"/>
    </row>
    <row r="388" spans="3:5" ht="14.25" customHeight="1" x14ac:dyDescent="0.3">
      <c r="C388" s="19"/>
      <c r="E388" s="16"/>
    </row>
    <row r="389" spans="3:5" ht="14.25" customHeight="1" x14ac:dyDescent="0.3">
      <c r="C389" s="19"/>
      <c r="E389" s="16"/>
    </row>
    <row r="390" spans="3:5" ht="14.25" customHeight="1" x14ac:dyDescent="0.3">
      <c r="C390" s="19"/>
      <c r="E390" s="16"/>
    </row>
    <row r="391" spans="3:5" ht="14.25" customHeight="1" x14ac:dyDescent="0.3">
      <c r="C391" s="19"/>
      <c r="E391" s="16"/>
    </row>
    <row r="392" spans="3:5" ht="14.25" customHeight="1" x14ac:dyDescent="0.3">
      <c r="C392" s="19"/>
      <c r="E392" s="16"/>
    </row>
    <row r="393" spans="3:5" ht="14.25" customHeight="1" x14ac:dyDescent="0.3">
      <c r="C393" s="19"/>
      <c r="E393" s="16"/>
    </row>
    <row r="394" spans="3:5" ht="14.25" customHeight="1" x14ac:dyDescent="0.3">
      <c r="C394" s="19"/>
      <c r="E394" s="16"/>
    </row>
    <row r="395" spans="3:5" ht="14.25" customHeight="1" x14ac:dyDescent="0.3">
      <c r="C395" s="19"/>
      <c r="E395" s="16"/>
    </row>
    <row r="396" spans="3:5" ht="14.25" customHeight="1" x14ac:dyDescent="0.3">
      <c r="C396" s="19"/>
      <c r="E396" s="16"/>
    </row>
    <row r="397" spans="3:5" ht="14.25" customHeight="1" x14ac:dyDescent="0.3">
      <c r="C397" s="19"/>
      <c r="E397" s="16"/>
    </row>
    <row r="398" spans="3:5" ht="14.25" customHeight="1" x14ac:dyDescent="0.3">
      <c r="C398" s="19"/>
      <c r="E398" s="16"/>
    </row>
    <row r="399" spans="3:5" ht="14.25" customHeight="1" x14ac:dyDescent="0.3">
      <c r="C399" s="19"/>
      <c r="E399" s="16"/>
    </row>
    <row r="400" spans="3:5" ht="14.25" customHeight="1" x14ac:dyDescent="0.3">
      <c r="C400" s="19"/>
      <c r="E400" s="16"/>
    </row>
    <row r="401" spans="3:5" ht="14.25" customHeight="1" x14ac:dyDescent="0.3">
      <c r="C401" s="19"/>
      <c r="E401" s="16"/>
    </row>
    <row r="402" spans="3:5" ht="14.25" customHeight="1" x14ac:dyDescent="0.3">
      <c r="C402" s="19"/>
      <c r="E402" s="16"/>
    </row>
    <row r="403" spans="3:5" ht="14.25" customHeight="1" x14ac:dyDescent="0.3">
      <c r="C403" s="19"/>
      <c r="E403" s="16"/>
    </row>
    <row r="404" spans="3:5" ht="14.25" customHeight="1" x14ac:dyDescent="0.3">
      <c r="C404" s="19"/>
      <c r="E404" s="16"/>
    </row>
    <row r="405" spans="3:5" ht="14.25" customHeight="1" x14ac:dyDescent="0.3">
      <c r="C405" s="19"/>
      <c r="E405" s="16"/>
    </row>
    <row r="406" spans="3:5" ht="14.25" customHeight="1" x14ac:dyDescent="0.3">
      <c r="C406" s="19"/>
      <c r="E406" s="16"/>
    </row>
    <row r="407" spans="3:5" ht="14.25" customHeight="1" x14ac:dyDescent="0.3">
      <c r="C407" s="19"/>
      <c r="E407" s="16"/>
    </row>
    <row r="408" spans="3:5" ht="14.25" customHeight="1" x14ac:dyDescent="0.3">
      <c r="C408" s="19"/>
      <c r="E408" s="16"/>
    </row>
    <row r="409" spans="3:5" ht="14.25" customHeight="1" x14ac:dyDescent="0.3">
      <c r="C409" s="19"/>
      <c r="E409" s="16"/>
    </row>
    <row r="410" spans="3:5" ht="14.25" customHeight="1" x14ac:dyDescent="0.3">
      <c r="C410" s="19"/>
      <c r="E410" s="16"/>
    </row>
    <row r="411" spans="3:5" ht="14.25" customHeight="1" x14ac:dyDescent="0.3">
      <c r="C411" s="19"/>
      <c r="E411" s="16"/>
    </row>
    <row r="412" spans="3:5" ht="14.25" customHeight="1" x14ac:dyDescent="0.3">
      <c r="C412" s="19"/>
      <c r="E412" s="16"/>
    </row>
    <row r="413" spans="3:5" ht="14.25" customHeight="1" x14ac:dyDescent="0.3">
      <c r="C413" s="19"/>
      <c r="E413" s="16"/>
    </row>
    <row r="414" spans="3:5" ht="14.25" customHeight="1" x14ac:dyDescent="0.3">
      <c r="C414" s="19"/>
      <c r="E414" s="16"/>
    </row>
    <row r="415" spans="3:5" ht="14.25" customHeight="1" x14ac:dyDescent="0.3">
      <c r="C415" s="19"/>
      <c r="E415" s="16"/>
    </row>
    <row r="416" spans="3:5" ht="14.25" customHeight="1" x14ac:dyDescent="0.3">
      <c r="C416" s="19"/>
      <c r="E416" s="16"/>
    </row>
    <row r="417" spans="3:5" ht="14.25" customHeight="1" x14ac:dyDescent="0.3">
      <c r="C417" s="19"/>
      <c r="E417" s="16"/>
    </row>
    <row r="418" spans="3:5" ht="14.25" customHeight="1" x14ac:dyDescent="0.3">
      <c r="C418" s="19"/>
      <c r="E418" s="16"/>
    </row>
    <row r="419" spans="3:5" ht="14.25" customHeight="1" x14ac:dyDescent="0.3">
      <c r="C419" s="19"/>
      <c r="E419" s="16"/>
    </row>
    <row r="420" spans="3:5" ht="14.25" customHeight="1" x14ac:dyDescent="0.3">
      <c r="C420" s="19"/>
      <c r="E420" s="16"/>
    </row>
    <row r="421" spans="3:5" ht="14.25" customHeight="1" x14ac:dyDescent="0.3">
      <c r="C421" s="19"/>
      <c r="E421" s="16"/>
    </row>
    <row r="422" spans="3:5" ht="14.25" customHeight="1" x14ac:dyDescent="0.3">
      <c r="C422" s="19"/>
      <c r="E422" s="16"/>
    </row>
    <row r="423" spans="3:5" ht="14.25" customHeight="1" x14ac:dyDescent="0.3">
      <c r="C423" s="19"/>
      <c r="E423" s="16"/>
    </row>
    <row r="424" spans="3:5" ht="14.25" customHeight="1" x14ac:dyDescent="0.3">
      <c r="C424" s="19"/>
      <c r="E424" s="16"/>
    </row>
    <row r="425" spans="3:5" ht="14.25" customHeight="1" x14ac:dyDescent="0.3">
      <c r="C425" s="19"/>
      <c r="E425" s="16"/>
    </row>
    <row r="426" spans="3:5" ht="14.25" customHeight="1" x14ac:dyDescent="0.3">
      <c r="C426" s="19"/>
      <c r="E426" s="16"/>
    </row>
    <row r="427" spans="3:5" ht="14.25" customHeight="1" x14ac:dyDescent="0.3">
      <c r="C427" s="19"/>
      <c r="E427" s="16"/>
    </row>
    <row r="428" spans="3:5" ht="14.25" customHeight="1" x14ac:dyDescent="0.3">
      <c r="C428" s="19"/>
      <c r="E428" s="16"/>
    </row>
    <row r="429" spans="3:5" ht="14.25" customHeight="1" x14ac:dyDescent="0.3">
      <c r="C429" s="19"/>
      <c r="E429" s="16"/>
    </row>
    <row r="430" spans="3:5" ht="14.25" customHeight="1" x14ac:dyDescent="0.3">
      <c r="C430" s="19"/>
      <c r="E430" s="16"/>
    </row>
    <row r="431" spans="3:5" ht="14.25" customHeight="1" x14ac:dyDescent="0.3">
      <c r="C431" s="19"/>
      <c r="E431" s="16"/>
    </row>
    <row r="432" spans="3:5" ht="14.25" customHeight="1" x14ac:dyDescent="0.3">
      <c r="C432" s="19"/>
      <c r="E432" s="16"/>
    </row>
    <row r="433" spans="3:5" ht="14.25" customHeight="1" x14ac:dyDescent="0.3">
      <c r="C433" s="19"/>
      <c r="E433" s="16"/>
    </row>
    <row r="434" spans="3:5" ht="14.25" customHeight="1" x14ac:dyDescent="0.3">
      <c r="C434" s="19"/>
      <c r="E434" s="16"/>
    </row>
    <row r="435" spans="3:5" ht="14.25" customHeight="1" x14ac:dyDescent="0.3">
      <c r="C435" s="19"/>
      <c r="E435" s="16"/>
    </row>
    <row r="436" spans="3:5" ht="14.25" customHeight="1" x14ac:dyDescent="0.3">
      <c r="C436" s="19"/>
      <c r="E436" s="16"/>
    </row>
    <row r="437" spans="3:5" ht="14.25" customHeight="1" x14ac:dyDescent="0.3">
      <c r="C437" s="19"/>
      <c r="E437" s="16"/>
    </row>
    <row r="438" spans="3:5" ht="14.25" customHeight="1" x14ac:dyDescent="0.3">
      <c r="C438" s="19"/>
      <c r="E438" s="16"/>
    </row>
    <row r="439" spans="3:5" ht="14.25" customHeight="1" x14ac:dyDescent="0.3">
      <c r="C439" s="19"/>
      <c r="E439" s="16"/>
    </row>
    <row r="440" spans="3:5" ht="14.25" customHeight="1" x14ac:dyDescent="0.3">
      <c r="C440" s="19"/>
      <c r="E440" s="16"/>
    </row>
    <row r="441" spans="3:5" ht="14.25" customHeight="1" x14ac:dyDescent="0.3">
      <c r="C441" s="19"/>
      <c r="E441" s="16"/>
    </row>
    <row r="442" spans="3:5" ht="14.25" customHeight="1" x14ac:dyDescent="0.3">
      <c r="C442" s="19"/>
      <c r="E442" s="16"/>
    </row>
    <row r="443" spans="3:5" ht="14.25" customHeight="1" x14ac:dyDescent="0.3">
      <c r="C443" s="19"/>
      <c r="E443" s="16"/>
    </row>
    <row r="444" spans="3:5" ht="14.25" customHeight="1" x14ac:dyDescent="0.3">
      <c r="C444" s="19"/>
      <c r="E444" s="16"/>
    </row>
    <row r="445" spans="3:5" ht="14.25" customHeight="1" x14ac:dyDescent="0.3">
      <c r="C445" s="19"/>
      <c r="E445" s="16"/>
    </row>
    <row r="446" spans="3:5" ht="14.25" customHeight="1" x14ac:dyDescent="0.3">
      <c r="C446" s="19"/>
      <c r="E446" s="16"/>
    </row>
    <row r="447" spans="3:5" ht="14.25" customHeight="1" x14ac:dyDescent="0.3">
      <c r="C447" s="19"/>
      <c r="E447" s="16"/>
    </row>
    <row r="448" spans="3:5" ht="14.25" customHeight="1" x14ac:dyDescent="0.3">
      <c r="C448" s="19"/>
      <c r="E448" s="16"/>
    </row>
    <row r="449" spans="3:5" ht="14.25" customHeight="1" x14ac:dyDescent="0.3">
      <c r="C449" s="19"/>
      <c r="E449" s="16"/>
    </row>
    <row r="450" spans="3:5" ht="14.25" customHeight="1" x14ac:dyDescent="0.3">
      <c r="C450" s="19"/>
      <c r="E450" s="16"/>
    </row>
    <row r="451" spans="3:5" ht="14.25" customHeight="1" x14ac:dyDescent="0.3">
      <c r="C451" s="19"/>
      <c r="E451" s="16"/>
    </row>
    <row r="452" spans="3:5" ht="14.25" customHeight="1" x14ac:dyDescent="0.3">
      <c r="C452" s="19"/>
      <c r="E452" s="16"/>
    </row>
    <row r="453" spans="3:5" ht="14.25" customHeight="1" x14ac:dyDescent="0.3">
      <c r="C453" s="19"/>
      <c r="E453" s="16"/>
    </row>
    <row r="454" spans="3:5" ht="14.25" customHeight="1" x14ac:dyDescent="0.3">
      <c r="C454" s="19"/>
      <c r="E454" s="16"/>
    </row>
    <row r="455" spans="3:5" ht="14.25" customHeight="1" x14ac:dyDescent="0.3">
      <c r="C455" s="19"/>
      <c r="E455" s="16"/>
    </row>
    <row r="456" spans="3:5" ht="14.25" customHeight="1" x14ac:dyDescent="0.3">
      <c r="C456" s="19"/>
      <c r="E456" s="16"/>
    </row>
    <row r="457" spans="3:5" ht="14.25" customHeight="1" x14ac:dyDescent="0.3">
      <c r="C457" s="19"/>
      <c r="E457" s="16"/>
    </row>
    <row r="458" spans="3:5" ht="14.25" customHeight="1" x14ac:dyDescent="0.3">
      <c r="C458" s="19"/>
      <c r="E458" s="16"/>
    </row>
    <row r="459" spans="3:5" ht="14.25" customHeight="1" x14ac:dyDescent="0.3">
      <c r="C459" s="19"/>
      <c r="E459" s="16"/>
    </row>
    <row r="460" spans="3:5" ht="14.25" customHeight="1" x14ac:dyDescent="0.3">
      <c r="C460" s="19"/>
      <c r="E460" s="16"/>
    </row>
    <row r="461" spans="3:5" ht="14.25" customHeight="1" x14ac:dyDescent="0.3">
      <c r="C461" s="19"/>
      <c r="E461" s="16"/>
    </row>
    <row r="462" spans="3:5" ht="14.25" customHeight="1" x14ac:dyDescent="0.3">
      <c r="C462" s="19"/>
      <c r="E462" s="16"/>
    </row>
    <row r="463" spans="3:5" ht="14.25" customHeight="1" x14ac:dyDescent="0.3">
      <c r="C463" s="19"/>
      <c r="E463" s="16"/>
    </row>
    <row r="464" spans="3:5" ht="14.25" customHeight="1" x14ac:dyDescent="0.3">
      <c r="C464" s="19"/>
      <c r="E464" s="16"/>
    </row>
    <row r="465" spans="3:5" ht="14.25" customHeight="1" x14ac:dyDescent="0.3">
      <c r="C465" s="19"/>
      <c r="E465" s="16"/>
    </row>
    <row r="466" spans="3:5" ht="14.25" customHeight="1" x14ac:dyDescent="0.3">
      <c r="C466" s="19"/>
      <c r="E466" s="16"/>
    </row>
    <row r="467" spans="3:5" ht="14.25" customHeight="1" x14ac:dyDescent="0.3">
      <c r="C467" s="19"/>
      <c r="E467" s="16"/>
    </row>
    <row r="468" spans="3:5" ht="14.25" customHeight="1" x14ac:dyDescent="0.3">
      <c r="C468" s="19"/>
      <c r="E468" s="16"/>
    </row>
    <row r="469" spans="3:5" ht="14.25" customHeight="1" x14ac:dyDescent="0.3">
      <c r="C469" s="19"/>
      <c r="E469" s="16"/>
    </row>
    <row r="470" spans="3:5" ht="14.25" customHeight="1" x14ac:dyDescent="0.3">
      <c r="C470" s="19"/>
      <c r="E470" s="16"/>
    </row>
    <row r="471" spans="3:5" ht="14.25" customHeight="1" x14ac:dyDescent="0.3">
      <c r="C471" s="19"/>
      <c r="E471" s="16"/>
    </row>
    <row r="472" spans="3:5" ht="14.25" customHeight="1" x14ac:dyDescent="0.3">
      <c r="C472" s="19"/>
      <c r="E472" s="16"/>
    </row>
    <row r="473" spans="3:5" ht="14.25" customHeight="1" x14ac:dyDescent="0.3">
      <c r="C473" s="19"/>
      <c r="E473" s="16"/>
    </row>
    <row r="474" spans="3:5" ht="14.25" customHeight="1" x14ac:dyDescent="0.3">
      <c r="C474" s="19"/>
      <c r="E474" s="16"/>
    </row>
    <row r="475" spans="3:5" ht="14.25" customHeight="1" x14ac:dyDescent="0.3">
      <c r="C475" s="19"/>
      <c r="E475" s="16"/>
    </row>
    <row r="476" spans="3:5" ht="14.25" customHeight="1" x14ac:dyDescent="0.3">
      <c r="C476" s="19"/>
      <c r="E476" s="16"/>
    </row>
    <row r="477" spans="3:5" ht="14.25" customHeight="1" x14ac:dyDescent="0.3">
      <c r="C477" s="19"/>
      <c r="E477" s="16"/>
    </row>
    <row r="478" spans="3:5" ht="14.25" customHeight="1" x14ac:dyDescent="0.3">
      <c r="C478" s="19"/>
      <c r="E478" s="16"/>
    </row>
    <row r="479" spans="3:5" ht="14.25" customHeight="1" x14ac:dyDescent="0.3">
      <c r="C479" s="19"/>
      <c r="E479" s="16"/>
    </row>
    <row r="480" spans="3:5" ht="14.25" customHeight="1" x14ac:dyDescent="0.3">
      <c r="C480" s="19"/>
      <c r="E480" s="16"/>
    </row>
    <row r="481" spans="3:5" ht="14.25" customHeight="1" x14ac:dyDescent="0.3">
      <c r="C481" s="19"/>
      <c r="E481" s="16"/>
    </row>
    <row r="482" spans="3:5" ht="14.25" customHeight="1" x14ac:dyDescent="0.3">
      <c r="C482" s="19"/>
      <c r="E482" s="16"/>
    </row>
    <row r="483" spans="3:5" ht="14.25" customHeight="1" x14ac:dyDescent="0.3">
      <c r="C483" s="19"/>
      <c r="E483" s="16"/>
    </row>
    <row r="484" spans="3:5" ht="14.25" customHeight="1" x14ac:dyDescent="0.3">
      <c r="C484" s="19"/>
      <c r="E484" s="16"/>
    </row>
    <row r="485" spans="3:5" ht="14.25" customHeight="1" x14ac:dyDescent="0.3">
      <c r="C485" s="19"/>
      <c r="E485" s="16"/>
    </row>
    <row r="486" spans="3:5" ht="14.25" customHeight="1" x14ac:dyDescent="0.3">
      <c r="C486" s="19"/>
      <c r="E486" s="16"/>
    </row>
    <row r="487" spans="3:5" ht="14.25" customHeight="1" x14ac:dyDescent="0.3">
      <c r="C487" s="19"/>
      <c r="E487" s="16"/>
    </row>
    <row r="488" spans="3:5" ht="14.25" customHeight="1" x14ac:dyDescent="0.3">
      <c r="C488" s="19"/>
      <c r="E488" s="16"/>
    </row>
    <row r="489" spans="3:5" ht="14.25" customHeight="1" x14ac:dyDescent="0.3">
      <c r="C489" s="19"/>
      <c r="E489" s="16"/>
    </row>
    <row r="490" spans="3:5" ht="14.25" customHeight="1" x14ac:dyDescent="0.3">
      <c r="C490" s="19"/>
      <c r="E490" s="16"/>
    </row>
    <row r="491" spans="3:5" ht="14.25" customHeight="1" x14ac:dyDescent="0.3">
      <c r="C491" s="19"/>
      <c r="E491" s="16"/>
    </row>
    <row r="492" spans="3:5" ht="14.25" customHeight="1" x14ac:dyDescent="0.3">
      <c r="C492" s="19"/>
      <c r="E492" s="16"/>
    </row>
    <row r="493" spans="3:5" ht="14.25" customHeight="1" x14ac:dyDescent="0.3">
      <c r="C493" s="19"/>
      <c r="E493" s="16"/>
    </row>
    <row r="494" spans="3:5" ht="14.25" customHeight="1" x14ac:dyDescent="0.3">
      <c r="C494" s="19"/>
      <c r="E494" s="16"/>
    </row>
    <row r="495" spans="3:5" ht="14.25" customHeight="1" x14ac:dyDescent="0.3">
      <c r="C495" s="19"/>
      <c r="E495" s="16"/>
    </row>
    <row r="496" spans="3:5" ht="14.25" customHeight="1" x14ac:dyDescent="0.3">
      <c r="C496" s="19"/>
      <c r="E496" s="16"/>
    </row>
    <row r="497" spans="3:5" ht="14.25" customHeight="1" x14ac:dyDescent="0.3">
      <c r="C497" s="19"/>
      <c r="E497" s="16"/>
    </row>
    <row r="498" spans="3:5" ht="14.25" customHeight="1" x14ac:dyDescent="0.3">
      <c r="C498" s="19"/>
      <c r="E498" s="16"/>
    </row>
    <row r="499" spans="3:5" ht="14.25" customHeight="1" x14ac:dyDescent="0.3">
      <c r="C499" s="19"/>
      <c r="E499" s="16"/>
    </row>
    <row r="500" spans="3:5" ht="14.25" customHeight="1" x14ac:dyDescent="0.3">
      <c r="C500" s="19"/>
      <c r="E500" s="16"/>
    </row>
    <row r="501" spans="3:5" ht="14.25" customHeight="1" x14ac:dyDescent="0.3">
      <c r="C501" s="19"/>
      <c r="E501" s="16"/>
    </row>
    <row r="502" spans="3:5" ht="14.25" customHeight="1" x14ac:dyDescent="0.3">
      <c r="C502" s="19"/>
      <c r="E502" s="16"/>
    </row>
    <row r="503" spans="3:5" ht="14.25" customHeight="1" x14ac:dyDescent="0.3">
      <c r="C503" s="19"/>
      <c r="E503" s="16"/>
    </row>
    <row r="504" spans="3:5" ht="14.25" customHeight="1" x14ac:dyDescent="0.3">
      <c r="C504" s="19"/>
      <c r="E504" s="16"/>
    </row>
    <row r="505" spans="3:5" ht="14.25" customHeight="1" x14ac:dyDescent="0.3">
      <c r="C505" s="19"/>
      <c r="E505" s="16"/>
    </row>
    <row r="506" spans="3:5" ht="14.25" customHeight="1" x14ac:dyDescent="0.3">
      <c r="C506" s="19"/>
      <c r="E506" s="16"/>
    </row>
    <row r="507" spans="3:5" ht="14.25" customHeight="1" x14ac:dyDescent="0.3">
      <c r="C507" s="19"/>
      <c r="E507" s="16"/>
    </row>
    <row r="508" spans="3:5" ht="14.25" customHeight="1" x14ac:dyDescent="0.3">
      <c r="C508" s="19"/>
      <c r="E508" s="16"/>
    </row>
    <row r="509" spans="3:5" ht="14.25" customHeight="1" x14ac:dyDescent="0.3">
      <c r="C509" s="19"/>
      <c r="E509" s="16"/>
    </row>
    <row r="510" spans="3:5" ht="14.25" customHeight="1" x14ac:dyDescent="0.3">
      <c r="C510" s="19"/>
      <c r="E510" s="16"/>
    </row>
    <row r="511" spans="3:5" ht="14.25" customHeight="1" x14ac:dyDescent="0.3">
      <c r="C511" s="19"/>
      <c r="E511" s="16"/>
    </row>
    <row r="512" spans="3:5" ht="14.25" customHeight="1" x14ac:dyDescent="0.3">
      <c r="C512" s="19"/>
      <c r="E512" s="16"/>
    </row>
    <row r="513" spans="3:5" ht="14.25" customHeight="1" x14ac:dyDescent="0.3">
      <c r="C513" s="19"/>
      <c r="E513" s="16"/>
    </row>
    <row r="514" spans="3:5" ht="14.25" customHeight="1" x14ac:dyDescent="0.3">
      <c r="C514" s="19"/>
      <c r="E514" s="16"/>
    </row>
    <row r="515" spans="3:5" ht="14.25" customHeight="1" x14ac:dyDescent="0.3">
      <c r="C515" s="19"/>
      <c r="E515" s="16"/>
    </row>
    <row r="516" spans="3:5" ht="14.25" customHeight="1" x14ac:dyDescent="0.3">
      <c r="C516" s="19"/>
      <c r="E516" s="16"/>
    </row>
    <row r="517" spans="3:5" ht="14.25" customHeight="1" x14ac:dyDescent="0.3">
      <c r="C517" s="19"/>
      <c r="E517" s="16"/>
    </row>
    <row r="518" spans="3:5" ht="14.25" customHeight="1" x14ac:dyDescent="0.3">
      <c r="C518" s="19"/>
      <c r="E518" s="16"/>
    </row>
    <row r="519" spans="3:5" ht="14.25" customHeight="1" x14ac:dyDescent="0.3">
      <c r="C519" s="19"/>
      <c r="E519" s="16"/>
    </row>
    <row r="520" spans="3:5" ht="14.25" customHeight="1" x14ac:dyDescent="0.3">
      <c r="C520" s="19"/>
      <c r="E520" s="16"/>
    </row>
    <row r="521" spans="3:5" ht="14.25" customHeight="1" x14ac:dyDescent="0.3">
      <c r="C521" s="19"/>
      <c r="E521" s="16"/>
    </row>
    <row r="522" spans="3:5" ht="14.25" customHeight="1" x14ac:dyDescent="0.3">
      <c r="C522" s="19"/>
      <c r="E522" s="16"/>
    </row>
    <row r="523" spans="3:5" ht="14.25" customHeight="1" x14ac:dyDescent="0.3">
      <c r="C523" s="19"/>
      <c r="E523" s="16"/>
    </row>
    <row r="524" spans="3:5" ht="14.25" customHeight="1" x14ac:dyDescent="0.3">
      <c r="C524" s="19"/>
      <c r="E524" s="16"/>
    </row>
    <row r="525" spans="3:5" ht="14.25" customHeight="1" x14ac:dyDescent="0.3">
      <c r="C525" s="19"/>
      <c r="E525" s="16"/>
    </row>
    <row r="526" spans="3:5" ht="14.25" customHeight="1" x14ac:dyDescent="0.3">
      <c r="C526" s="19"/>
      <c r="E526" s="16"/>
    </row>
    <row r="527" spans="3:5" ht="14.25" customHeight="1" x14ac:dyDescent="0.3">
      <c r="C527" s="19"/>
      <c r="E527" s="16"/>
    </row>
    <row r="528" spans="3:5" ht="14.25" customHeight="1" x14ac:dyDescent="0.3">
      <c r="C528" s="19"/>
      <c r="E528" s="16"/>
    </row>
    <row r="529" spans="3:5" ht="14.25" customHeight="1" x14ac:dyDescent="0.3">
      <c r="C529" s="19"/>
      <c r="E529" s="16"/>
    </row>
    <row r="530" spans="3:5" ht="14.25" customHeight="1" x14ac:dyDescent="0.3">
      <c r="C530" s="19"/>
      <c r="E530" s="16"/>
    </row>
    <row r="531" spans="3:5" ht="14.25" customHeight="1" x14ac:dyDescent="0.3">
      <c r="C531" s="19"/>
      <c r="E531" s="16"/>
    </row>
    <row r="532" spans="3:5" ht="14.25" customHeight="1" x14ac:dyDescent="0.3">
      <c r="C532" s="19"/>
      <c r="E532" s="16"/>
    </row>
    <row r="533" spans="3:5" ht="14.25" customHeight="1" x14ac:dyDescent="0.3">
      <c r="C533" s="19"/>
      <c r="E533" s="16"/>
    </row>
    <row r="534" spans="3:5" ht="14.25" customHeight="1" x14ac:dyDescent="0.3">
      <c r="C534" s="19"/>
      <c r="E534" s="16"/>
    </row>
    <row r="535" spans="3:5" ht="14.25" customHeight="1" x14ac:dyDescent="0.3">
      <c r="C535" s="19"/>
      <c r="E535" s="16"/>
    </row>
    <row r="536" spans="3:5" ht="14.25" customHeight="1" x14ac:dyDescent="0.3">
      <c r="C536" s="19"/>
      <c r="E536" s="16"/>
    </row>
    <row r="537" spans="3:5" ht="14.25" customHeight="1" x14ac:dyDescent="0.3">
      <c r="C537" s="19"/>
      <c r="E537" s="16"/>
    </row>
    <row r="538" spans="3:5" ht="14.25" customHeight="1" x14ac:dyDescent="0.3">
      <c r="C538" s="19"/>
      <c r="E538" s="16"/>
    </row>
    <row r="539" spans="3:5" ht="14.25" customHeight="1" x14ac:dyDescent="0.3">
      <c r="C539" s="19"/>
      <c r="E539" s="16"/>
    </row>
    <row r="540" spans="3:5" ht="14.25" customHeight="1" x14ac:dyDescent="0.3">
      <c r="C540" s="19"/>
      <c r="E540" s="16"/>
    </row>
    <row r="541" spans="3:5" ht="14.25" customHeight="1" x14ac:dyDescent="0.3">
      <c r="C541" s="19"/>
      <c r="E541" s="16"/>
    </row>
    <row r="542" spans="3:5" ht="14.25" customHeight="1" x14ac:dyDescent="0.3">
      <c r="C542" s="19"/>
      <c r="E542" s="16"/>
    </row>
    <row r="543" spans="3:5" ht="14.25" customHeight="1" x14ac:dyDescent="0.3">
      <c r="C543" s="19"/>
      <c r="E543" s="16"/>
    </row>
    <row r="544" spans="3:5" ht="14.25" customHeight="1" x14ac:dyDescent="0.3">
      <c r="C544" s="19"/>
      <c r="E544" s="16"/>
    </row>
    <row r="545" spans="3:5" ht="14.25" customHeight="1" x14ac:dyDescent="0.3">
      <c r="C545" s="19"/>
      <c r="E545" s="16"/>
    </row>
    <row r="546" spans="3:5" ht="14.25" customHeight="1" x14ac:dyDescent="0.3">
      <c r="C546" s="19"/>
      <c r="E546" s="16"/>
    </row>
    <row r="547" spans="3:5" ht="14.25" customHeight="1" x14ac:dyDescent="0.3">
      <c r="C547" s="19"/>
      <c r="E547" s="16"/>
    </row>
    <row r="548" spans="3:5" ht="14.25" customHeight="1" x14ac:dyDescent="0.3">
      <c r="C548" s="19"/>
      <c r="E548" s="16"/>
    </row>
    <row r="549" spans="3:5" ht="14.25" customHeight="1" x14ac:dyDescent="0.3">
      <c r="C549" s="19"/>
      <c r="E549" s="16"/>
    </row>
    <row r="550" spans="3:5" ht="14.25" customHeight="1" x14ac:dyDescent="0.3">
      <c r="C550" s="19"/>
      <c r="E550" s="16"/>
    </row>
    <row r="551" spans="3:5" ht="14.25" customHeight="1" x14ac:dyDescent="0.3">
      <c r="C551" s="19"/>
      <c r="E551" s="16"/>
    </row>
    <row r="552" spans="3:5" ht="14.25" customHeight="1" x14ac:dyDescent="0.3">
      <c r="C552" s="19"/>
      <c r="E552" s="16"/>
    </row>
    <row r="553" spans="3:5" ht="14.25" customHeight="1" x14ac:dyDescent="0.3">
      <c r="C553" s="19"/>
      <c r="E553" s="16"/>
    </row>
    <row r="554" spans="3:5" ht="14.25" customHeight="1" x14ac:dyDescent="0.3">
      <c r="C554" s="19"/>
      <c r="E554" s="16"/>
    </row>
    <row r="555" spans="3:5" ht="14.25" customHeight="1" x14ac:dyDescent="0.3">
      <c r="C555" s="19"/>
      <c r="E555" s="16"/>
    </row>
    <row r="556" spans="3:5" ht="14.25" customHeight="1" x14ac:dyDescent="0.3">
      <c r="C556" s="19"/>
      <c r="E556" s="16"/>
    </row>
    <row r="557" spans="3:5" ht="14.25" customHeight="1" x14ac:dyDescent="0.3">
      <c r="C557" s="19"/>
      <c r="E557" s="16"/>
    </row>
    <row r="558" spans="3:5" ht="14.25" customHeight="1" x14ac:dyDescent="0.3">
      <c r="C558" s="19"/>
      <c r="E558" s="16"/>
    </row>
    <row r="559" spans="3:5" ht="14.25" customHeight="1" x14ac:dyDescent="0.3">
      <c r="C559" s="19"/>
      <c r="E559" s="16"/>
    </row>
    <row r="560" spans="3:5" ht="14.25" customHeight="1" x14ac:dyDescent="0.3">
      <c r="C560" s="19"/>
      <c r="E560" s="16"/>
    </row>
    <row r="561" spans="3:5" ht="14.25" customHeight="1" x14ac:dyDescent="0.3">
      <c r="C561" s="19"/>
      <c r="E561" s="16"/>
    </row>
    <row r="562" spans="3:5" ht="14.25" customHeight="1" x14ac:dyDescent="0.3">
      <c r="C562" s="19"/>
      <c r="E562" s="16"/>
    </row>
    <row r="563" spans="3:5" ht="14.25" customHeight="1" x14ac:dyDescent="0.3">
      <c r="C563" s="19"/>
      <c r="E563" s="16"/>
    </row>
    <row r="564" spans="3:5" ht="14.25" customHeight="1" x14ac:dyDescent="0.3">
      <c r="C564" s="19"/>
      <c r="E564" s="16"/>
    </row>
    <row r="565" spans="3:5" ht="14.25" customHeight="1" x14ac:dyDescent="0.3">
      <c r="C565" s="19"/>
      <c r="E565" s="16"/>
    </row>
    <row r="566" spans="3:5" ht="14.25" customHeight="1" x14ac:dyDescent="0.3">
      <c r="C566" s="19"/>
      <c r="E566" s="16"/>
    </row>
    <row r="567" spans="3:5" ht="14.25" customHeight="1" x14ac:dyDescent="0.3">
      <c r="C567" s="19"/>
      <c r="E567" s="16"/>
    </row>
    <row r="568" spans="3:5" ht="14.25" customHeight="1" x14ac:dyDescent="0.3">
      <c r="C568" s="19"/>
      <c r="E568" s="16"/>
    </row>
    <row r="569" spans="3:5" ht="14.25" customHeight="1" x14ac:dyDescent="0.3">
      <c r="C569" s="19"/>
      <c r="E569" s="16"/>
    </row>
    <row r="570" spans="3:5" ht="14.25" customHeight="1" x14ac:dyDescent="0.3">
      <c r="C570" s="19"/>
      <c r="E570" s="16"/>
    </row>
    <row r="571" spans="3:5" ht="14.25" customHeight="1" x14ac:dyDescent="0.3">
      <c r="C571" s="19"/>
      <c r="E571" s="16"/>
    </row>
    <row r="572" spans="3:5" ht="14.25" customHeight="1" x14ac:dyDescent="0.3">
      <c r="C572" s="19"/>
      <c r="E572" s="16"/>
    </row>
    <row r="573" spans="3:5" ht="14.25" customHeight="1" x14ac:dyDescent="0.3">
      <c r="C573" s="19"/>
      <c r="E573" s="16"/>
    </row>
    <row r="574" spans="3:5" ht="14.25" customHeight="1" x14ac:dyDescent="0.3">
      <c r="C574" s="19"/>
      <c r="E574" s="16"/>
    </row>
    <row r="575" spans="3:5" ht="14.25" customHeight="1" x14ac:dyDescent="0.3">
      <c r="C575" s="19"/>
      <c r="E575" s="16"/>
    </row>
    <row r="576" spans="3:5" ht="14.25" customHeight="1" x14ac:dyDescent="0.3">
      <c r="C576" s="19"/>
      <c r="E576" s="16"/>
    </row>
    <row r="577" spans="3:5" ht="14.25" customHeight="1" x14ac:dyDescent="0.3">
      <c r="C577" s="19"/>
      <c r="E577" s="16"/>
    </row>
    <row r="578" spans="3:5" ht="14.25" customHeight="1" x14ac:dyDescent="0.3">
      <c r="C578" s="19"/>
      <c r="E578" s="16"/>
    </row>
    <row r="579" spans="3:5" ht="14.25" customHeight="1" x14ac:dyDescent="0.3">
      <c r="C579" s="19"/>
      <c r="E579" s="16"/>
    </row>
    <row r="580" spans="3:5" ht="14.25" customHeight="1" x14ac:dyDescent="0.3">
      <c r="C580" s="19"/>
      <c r="E580" s="16"/>
    </row>
    <row r="581" spans="3:5" ht="14.25" customHeight="1" x14ac:dyDescent="0.3">
      <c r="C581" s="19"/>
      <c r="E581" s="16"/>
    </row>
    <row r="582" spans="3:5" ht="14.25" customHeight="1" x14ac:dyDescent="0.3">
      <c r="C582" s="19"/>
      <c r="E582" s="16"/>
    </row>
    <row r="583" spans="3:5" ht="14.25" customHeight="1" x14ac:dyDescent="0.3">
      <c r="C583" s="19"/>
      <c r="E583" s="16"/>
    </row>
    <row r="584" spans="3:5" ht="14.25" customHeight="1" x14ac:dyDescent="0.3">
      <c r="C584" s="19"/>
      <c r="E584" s="16"/>
    </row>
    <row r="585" spans="3:5" ht="14.25" customHeight="1" x14ac:dyDescent="0.3">
      <c r="C585" s="19"/>
      <c r="E585" s="16"/>
    </row>
    <row r="586" spans="3:5" ht="14.25" customHeight="1" x14ac:dyDescent="0.3">
      <c r="C586" s="19"/>
      <c r="E586" s="16"/>
    </row>
    <row r="587" spans="3:5" ht="14.25" customHeight="1" x14ac:dyDescent="0.3">
      <c r="C587" s="19"/>
      <c r="E587" s="16"/>
    </row>
    <row r="588" spans="3:5" ht="14.25" customHeight="1" x14ac:dyDescent="0.3">
      <c r="C588" s="19"/>
      <c r="E588" s="16"/>
    </row>
    <row r="589" spans="3:5" ht="14.25" customHeight="1" x14ac:dyDescent="0.3">
      <c r="C589" s="19"/>
      <c r="E589" s="16"/>
    </row>
    <row r="590" spans="3:5" ht="14.25" customHeight="1" x14ac:dyDescent="0.3">
      <c r="C590" s="19"/>
      <c r="E590" s="16"/>
    </row>
    <row r="591" spans="3:5" ht="14.25" customHeight="1" x14ac:dyDescent="0.3">
      <c r="C591" s="19"/>
      <c r="E591" s="16"/>
    </row>
    <row r="592" spans="3:5" ht="14.25" customHeight="1" x14ac:dyDescent="0.3">
      <c r="C592" s="19"/>
      <c r="E592" s="16"/>
    </row>
    <row r="593" spans="3:5" ht="14.25" customHeight="1" x14ac:dyDescent="0.3">
      <c r="C593" s="19"/>
      <c r="E593" s="16"/>
    </row>
    <row r="594" spans="3:5" ht="14.25" customHeight="1" x14ac:dyDescent="0.3">
      <c r="C594" s="19"/>
      <c r="E594" s="16"/>
    </row>
    <row r="595" spans="3:5" ht="14.25" customHeight="1" x14ac:dyDescent="0.3">
      <c r="C595" s="19"/>
      <c r="E595" s="16"/>
    </row>
    <row r="596" spans="3:5" ht="14.25" customHeight="1" x14ac:dyDescent="0.3">
      <c r="C596" s="19"/>
      <c r="E596" s="16"/>
    </row>
    <row r="597" spans="3:5" ht="14.25" customHeight="1" x14ac:dyDescent="0.3">
      <c r="C597" s="19"/>
      <c r="E597" s="16"/>
    </row>
    <row r="598" spans="3:5" ht="14.25" customHeight="1" x14ac:dyDescent="0.3">
      <c r="C598" s="19"/>
      <c r="E598" s="16"/>
    </row>
    <row r="599" spans="3:5" ht="14.25" customHeight="1" x14ac:dyDescent="0.3">
      <c r="C599" s="19"/>
      <c r="E599" s="16"/>
    </row>
    <row r="600" spans="3:5" ht="14.25" customHeight="1" x14ac:dyDescent="0.3">
      <c r="C600" s="19"/>
      <c r="E600" s="16"/>
    </row>
    <row r="601" spans="3:5" ht="14.25" customHeight="1" x14ac:dyDescent="0.3">
      <c r="C601" s="19"/>
      <c r="E601" s="16"/>
    </row>
    <row r="602" spans="3:5" ht="14.25" customHeight="1" x14ac:dyDescent="0.3">
      <c r="C602" s="19"/>
      <c r="E602" s="16"/>
    </row>
    <row r="603" spans="3:5" ht="14.25" customHeight="1" x14ac:dyDescent="0.3">
      <c r="C603" s="19"/>
      <c r="E603" s="16"/>
    </row>
    <row r="604" spans="3:5" ht="14.25" customHeight="1" x14ac:dyDescent="0.3">
      <c r="C604" s="19"/>
      <c r="E604" s="16"/>
    </row>
    <row r="605" spans="3:5" ht="14.25" customHeight="1" x14ac:dyDescent="0.3">
      <c r="C605" s="19"/>
      <c r="E605" s="16"/>
    </row>
    <row r="606" spans="3:5" ht="14.25" customHeight="1" x14ac:dyDescent="0.3">
      <c r="C606" s="19"/>
      <c r="E606" s="16"/>
    </row>
    <row r="607" spans="3:5" ht="14.25" customHeight="1" x14ac:dyDescent="0.3">
      <c r="C607" s="19"/>
      <c r="E607" s="16"/>
    </row>
    <row r="608" spans="3:5" ht="14.25" customHeight="1" x14ac:dyDescent="0.3">
      <c r="C608" s="19"/>
      <c r="E608" s="16"/>
    </row>
    <row r="609" spans="3:5" ht="14.25" customHeight="1" x14ac:dyDescent="0.3">
      <c r="C609" s="19"/>
      <c r="E609" s="16"/>
    </row>
    <row r="610" spans="3:5" ht="14.25" customHeight="1" x14ac:dyDescent="0.3">
      <c r="C610" s="19"/>
      <c r="E610" s="16"/>
    </row>
    <row r="611" spans="3:5" ht="14.25" customHeight="1" x14ac:dyDescent="0.3">
      <c r="C611" s="19"/>
      <c r="E611" s="16"/>
    </row>
    <row r="612" spans="3:5" ht="14.25" customHeight="1" x14ac:dyDescent="0.3">
      <c r="C612" s="19"/>
      <c r="E612" s="16"/>
    </row>
    <row r="613" spans="3:5" ht="14.25" customHeight="1" x14ac:dyDescent="0.3">
      <c r="C613" s="19"/>
      <c r="E613" s="16"/>
    </row>
    <row r="614" spans="3:5" ht="14.25" customHeight="1" x14ac:dyDescent="0.3">
      <c r="C614" s="19"/>
      <c r="E614" s="16"/>
    </row>
    <row r="615" spans="3:5" ht="14.25" customHeight="1" x14ac:dyDescent="0.3">
      <c r="C615" s="19"/>
      <c r="E615" s="16"/>
    </row>
    <row r="616" spans="3:5" ht="14.25" customHeight="1" x14ac:dyDescent="0.3">
      <c r="C616" s="19"/>
      <c r="E616" s="16"/>
    </row>
    <row r="617" spans="3:5" ht="14.25" customHeight="1" x14ac:dyDescent="0.3">
      <c r="C617" s="19"/>
      <c r="E617" s="16"/>
    </row>
    <row r="618" spans="3:5" ht="14.25" customHeight="1" x14ac:dyDescent="0.3">
      <c r="C618" s="19"/>
      <c r="E618" s="16"/>
    </row>
    <row r="619" spans="3:5" ht="14.25" customHeight="1" x14ac:dyDescent="0.3">
      <c r="C619" s="19"/>
      <c r="E619" s="16"/>
    </row>
    <row r="620" spans="3:5" ht="14.25" customHeight="1" x14ac:dyDescent="0.3">
      <c r="C620" s="19"/>
      <c r="E620" s="16"/>
    </row>
    <row r="621" spans="3:5" ht="14.25" customHeight="1" x14ac:dyDescent="0.3">
      <c r="C621" s="19"/>
      <c r="E621" s="16"/>
    </row>
    <row r="622" spans="3:5" ht="14.25" customHeight="1" x14ac:dyDescent="0.3">
      <c r="C622" s="19"/>
      <c r="E622" s="16"/>
    </row>
    <row r="623" spans="3:5" ht="14.25" customHeight="1" x14ac:dyDescent="0.3">
      <c r="C623" s="19"/>
      <c r="E623" s="16"/>
    </row>
    <row r="624" spans="3:5" ht="14.25" customHeight="1" x14ac:dyDescent="0.3">
      <c r="C624" s="19"/>
      <c r="E624" s="16"/>
    </row>
    <row r="625" spans="3:5" ht="14.25" customHeight="1" x14ac:dyDescent="0.3">
      <c r="C625" s="19"/>
      <c r="E625" s="16"/>
    </row>
    <row r="626" spans="3:5" ht="14.25" customHeight="1" x14ac:dyDescent="0.3">
      <c r="C626" s="19"/>
      <c r="E626" s="16"/>
    </row>
    <row r="627" spans="3:5" ht="14.25" customHeight="1" x14ac:dyDescent="0.3">
      <c r="C627" s="19"/>
      <c r="E627" s="16"/>
    </row>
    <row r="628" spans="3:5" ht="14.25" customHeight="1" x14ac:dyDescent="0.3">
      <c r="C628" s="19"/>
      <c r="E628" s="16"/>
    </row>
    <row r="629" spans="3:5" ht="14.25" customHeight="1" x14ac:dyDescent="0.3">
      <c r="C629" s="19"/>
      <c r="E629" s="16"/>
    </row>
    <row r="630" spans="3:5" ht="14.25" customHeight="1" x14ac:dyDescent="0.3">
      <c r="C630" s="19"/>
      <c r="E630" s="16"/>
    </row>
    <row r="631" spans="3:5" ht="14.25" customHeight="1" x14ac:dyDescent="0.3">
      <c r="C631" s="19"/>
      <c r="E631" s="16"/>
    </row>
    <row r="632" spans="3:5" ht="14.25" customHeight="1" x14ac:dyDescent="0.3">
      <c r="C632" s="19"/>
      <c r="E632" s="16"/>
    </row>
    <row r="633" spans="3:5" ht="14.25" customHeight="1" x14ac:dyDescent="0.3">
      <c r="C633" s="19"/>
      <c r="E633" s="16"/>
    </row>
    <row r="634" spans="3:5" ht="14.25" customHeight="1" x14ac:dyDescent="0.3">
      <c r="C634" s="19"/>
      <c r="E634" s="16"/>
    </row>
    <row r="635" spans="3:5" ht="14.25" customHeight="1" x14ac:dyDescent="0.3">
      <c r="C635" s="19"/>
      <c r="E635" s="16"/>
    </row>
    <row r="636" spans="3:5" ht="14.25" customHeight="1" x14ac:dyDescent="0.3">
      <c r="C636" s="19"/>
      <c r="E636" s="16"/>
    </row>
    <row r="637" spans="3:5" ht="14.25" customHeight="1" x14ac:dyDescent="0.3">
      <c r="C637" s="19"/>
      <c r="E637" s="16"/>
    </row>
    <row r="638" spans="3:5" ht="14.25" customHeight="1" x14ac:dyDescent="0.3">
      <c r="C638" s="19"/>
      <c r="E638" s="16"/>
    </row>
    <row r="639" spans="3:5" ht="14.25" customHeight="1" x14ac:dyDescent="0.3">
      <c r="C639" s="19"/>
      <c r="E639" s="16"/>
    </row>
    <row r="640" spans="3:5" ht="14.25" customHeight="1" x14ac:dyDescent="0.3">
      <c r="C640" s="19"/>
      <c r="E640" s="16"/>
    </row>
    <row r="641" spans="3:5" ht="14.25" customHeight="1" x14ac:dyDescent="0.3">
      <c r="C641" s="19"/>
      <c r="E641" s="16"/>
    </row>
    <row r="642" spans="3:5" ht="14.25" customHeight="1" x14ac:dyDescent="0.3">
      <c r="C642" s="19"/>
      <c r="E642" s="16"/>
    </row>
    <row r="643" spans="3:5" ht="14.25" customHeight="1" x14ac:dyDescent="0.3">
      <c r="C643" s="19"/>
      <c r="E643" s="16"/>
    </row>
    <row r="644" spans="3:5" ht="14.25" customHeight="1" x14ac:dyDescent="0.3">
      <c r="C644" s="19"/>
      <c r="E644" s="16"/>
    </row>
    <row r="645" spans="3:5" ht="14.25" customHeight="1" x14ac:dyDescent="0.3">
      <c r="C645" s="19"/>
      <c r="E645" s="16"/>
    </row>
    <row r="646" spans="3:5" ht="14.25" customHeight="1" x14ac:dyDescent="0.3">
      <c r="C646" s="19"/>
      <c r="E646" s="16"/>
    </row>
    <row r="647" spans="3:5" ht="14.25" customHeight="1" x14ac:dyDescent="0.3">
      <c r="C647" s="19"/>
      <c r="E647" s="16"/>
    </row>
    <row r="648" spans="3:5" ht="14.25" customHeight="1" x14ac:dyDescent="0.3">
      <c r="C648" s="19"/>
      <c r="E648" s="16"/>
    </row>
    <row r="649" spans="3:5" ht="14.25" customHeight="1" x14ac:dyDescent="0.3">
      <c r="C649" s="19"/>
      <c r="E649" s="16"/>
    </row>
    <row r="650" spans="3:5" ht="14.25" customHeight="1" x14ac:dyDescent="0.3">
      <c r="C650" s="19"/>
      <c r="E650" s="16"/>
    </row>
    <row r="651" spans="3:5" ht="14.25" customHeight="1" x14ac:dyDescent="0.3">
      <c r="C651" s="19"/>
      <c r="E651" s="16"/>
    </row>
    <row r="652" spans="3:5" ht="14.25" customHeight="1" x14ac:dyDescent="0.3">
      <c r="C652" s="19"/>
      <c r="E652" s="16"/>
    </row>
    <row r="653" spans="3:5" ht="14.25" customHeight="1" x14ac:dyDescent="0.3">
      <c r="C653" s="19"/>
      <c r="E653" s="16"/>
    </row>
    <row r="654" spans="3:5" ht="14.25" customHeight="1" x14ac:dyDescent="0.3">
      <c r="C654" s="19"/>
      <c r="E654" s="16"/>
    </row>
    <row r="655" spans="3:5" ht="14.25" customHeight="1" x14ac:dyDescent="0.3">
      <c r="C655" s="19"/>
      <c r="E655" s="16"/>
    </row>
    <row r="656" spans="3:5" ht="14.25" customHeight="1" x14ac:dyDescent="0.3">
      <c r="C656" s="19"/>
      <c r="E656" s="16"/>
    </row>
    <row r="657" spans="3:5" ht="14.25" customHeight="1" x14ac:dyDescent="0.3">
      <c r="C657" s="19"/>
      <c r="E657" s="16"/>
    </row>
    <row r="658" spans="3:5" ht="14.25" customHeight="1" x14ac:dyDescent="0.3">
      <c r="C658" s="19"/>
      <c r="E658" s="16"/>
    </row>
    <row r="659" spans="3:5" ht="14.25" customHeight="1" x14ac:dyDescent="0.3">
      <c r="C659" s="19"/>
      <c r="E659" s="16"/>
    </row>
    <row r="660" spans="3:5" ht="14.25" customHeight="1" x14ac:dyDescent="0.3">
      <c r="C660" s="19"/>
      <c r="E660" s="16"/>
    </row>
    <row r="661" spans="3:5" ht="14.25" customHeight="1" x14ac:dyDescent="0.3">
      <c r="C661" s="19"/>
      <c r="E661" s="16"/>
    </row>
    <row r="662" spans="3:5" ht="14.25" customHeight="1" x14ac:dyDescent="0.3">
      <c r="C662" s="19"/>
      <c r="E662" s="16"/>
    </row>
    <row r="663" spans="3:5" ht="14.25" customHeight="1" x14ac:dyDescent="0.3">
      <c r="C663" s="19"/>
      <c r="E663" s="16"/>
    </row>
    <row r="664" spans="3:5" ht="14.25" customHeight="1" x14ac:dyDescent="0.3">
      <c r="C664" s="19"/>
      <c r="E664" s="16"/>
    </row>
    <row r="665" spans="3:5" ht="14.25" customHeight="1" x14ac:dyDescent="0.3">
      <c r="C665" s="19"/>
      <c r="E665" s="16"/>
    </row>
    <row r="666" spans="3:5" ht="14.25" customHeight="1" x14ac:dyDescent="0.3">
      <c r="C666" s="19"/>
      <c r="E666" s="16"/>
    </row>
    <row r="667" spans="3:5" ht="14.25" customHeight="1" x14ac:dyDescent="0.3">
      <c r="C667" s="19"/>
      <c r="E667" s="16"/>
    </row>
    <row r="668" spans="3:5" ht="14.25" customHeight="1" x14ac:dyDescent="0.3">
      <c r="C668" s="19"/>
      <c r="E668" s="16"/>
    </row>
    <row r="669" spans="3:5" ht="14.25" customHeight="1" x14ac:dyDescent="0.3">
      <c r="C669" s="19"/>
      <c r="E669" s="16"/>
    </row>
    <row r="670" spans="3:5" ht="14.25" customHeight="1" x14ac:dyDescent="0.3">
      <c r="C670" s="19"/>
      <c r="E670" s="16"/>
    </row>
    <row r="671" spans="3:5" ht="14.25" customHeight="1" x14ac:dyDescent="0.3">
      <c r="C671" s="19"/>
      <c r="E671" s="16"/>
    </row>
    <row r="672" spans="3:5" ht="14.25" customHeight="1" x14ac:dyDescent="0.3">
      <c r="C672" s="19"/>
      <c r="E672" s="16"/>
    </row>
    <row r="673" spans="3:5" ht="14.25" customHeight="1" x14ac:dyDescent="0.3">
      <c r="C673" s="19"/>
      <c r="E673" s="16"/>
    </row>
    <row r="674" spans="3:5" ht="14.25" customHeight="1" x14ac:dyDescent="0.3">
      <c r="C674" s="19"/>
      <c r="E674" s="16"/>
    </row>
    <row r="675" spans="3:5" ht="14.25" customHeight="1" x14ac:dyDescent="0.3">
      <c r="C675" s="19"/>
      <c r="E675" s="16"/>
    </row>
    <row r="676" spans="3:5" ht="14.25" customHeight="1" x14ac:dyDescent="0.3">
      <c r="C676" s="19"/>
      <c r="E676" s="16"/>
    </row>
    <row r="677" spans="3:5" ht="14.25" customHeight="1" x14ac:dyDescent="0.3">
      <c r="C677" s="19"/>
      <c r="E677" s="16"/>
    </row>
    <row r="678" spans="3:5" ht="14.25" customHeight="1" x14ac:dyDescent="0.3">
      <c r="C678" s="19"/>
      <c r="E678" s="16"/>
    </row>
    <row r="679" spans="3:5" ht="14.25" customHeight="1" x14ac:dyDescent="0.3">
      <c r="C679" s="19"/>
      <c r="E679" s="16"/>
    </row>
    <row r="680" spans="3:5" ht="14.25" customHeight="1" x14ac:dyDescent="0.3">
      <c r="C680" s="19"/>
      <c r="E680" s="16"/>
    </row>
    <row r="681" spans="3:5" ht="14.25" customHeight="1" x14ac:dyDescent="0.3">
      <c r="C681" s="19"/>
      <c r="E681" s="16"/>
    </row>
    <row r="682" spans="3:5" ht="14.25" customHeight="1" x14ac:dyDescent="0.3">
      <c r="C682" s="19"/>
      <c r="E682" s="16"/>
    </row>
    <row r="683" spans="3:5" ht="14.25" customHeight="1" x14ac:dyDescent="0.3">
      <c r="C683" s="19"/>
      <c r="E683" s="16"/>
    </row>
    <row r="684" spans="3:5" ht="14.25" customHeight="1" x14ac:dyDescent="0.3">
      <c r="C684" s="19"/>
      <c r="E684" s="16"/>
    </row>
    <row r="685" spans="3:5" ht="14.25" customHeight="1" x14ac:dyDescent="0.3">
      <c r="C685" s="19"/>
      <c r="E685" s="16"/>
    </row>
    <row r="686" spans="3:5" ht="14.25" customHeight="1" x14ac:dyDescent="0.3">
      <c r="C686" s="19"/>
      <c r="E686" s="16"/>
    </row>
    <row r="687" spans="3:5" ht="14.25" customHeight="1" x14ac:dyDescent="0.3">
      <c r="C687" s="19"/>
      <c r="E687" s="16"/>
    </row>
    <row r="688" spans="3:5" ht="14.25" customHeight="1" x14ac:dyDescent="0.3">
      <c r="C688" s="19"/>
      <c r="E688" s="16"/>
    </row>
    <row r="689" spans="3:5" ht="14.25" customHeight="1" x14ac:dyDescent="0.3">
      <c r="C689" s="19"/>
      <c r="E689" s="16"/>
    </row>
    <row r="690" spans="3:5" ht="14.25" customHeight="1" x14ac:dyDescent="0.3">
      <c r="C690" s="19"/>
      <c r="E690" s="16"/>
    </row>
    <row r="691" spans="3:5" ht="14.25" customHeight="1" x14ac:dyDescent="0.3">
      <c r="C691" s="19"/>
      <c r="E691" s="16"/>
    </row>
    <row r="692" spans="3:5" ht="14.25" customHeight="1" x14ac:dyDescent="0.3">
      <c r="C692" s="19"/>
      <c r="E692" s="16"/>
    </row>
    <row r="693" spans="3:5" ht="14.25" customHeight="1" x14ac:dyDescent="0.3">
      <c r="C693" s="19"/>
      <c r="E693" s="16"/>
    </row>
    <row r="694" spans="3:5" ht="14.25" customHeight="1" x14ac:dyDescent="0.3">
      <c r="C694" s="19"/>
      <c r="E694" s="16"/>
    </row>
    <row r="695" spans="3:5" ht="14.25" customHeight="1" x14ac:dyDescent="0.3">
      <c r="C695" s="19"/>
      <c r="E695" s="16"/>
    </row>
    <row r="696" spans="3:5" ht="14.25" customHeight="1" x14ac:dyDescent="0.3">
      <c r="C696" s="19"/>
      <c r="E696" s="16"/>
    </row>
    <row r="697" spans="3:5" ht="14.25" customHeight="1" x14ac:dyDescent="0.3">
      <c r="C697" s="19"/>
      <c r="E697" s="16"/>
    </row>
    <row r="698" spans="3:5" ht="14.25" customHeight="1" x14ac:dyDescent="0.3">
      <c r="C698" s="19"/>
      <c r="E698" s="16"/>
    </row>
    <row r="699" spans="3:5" ht="14.25" customHeight="1" x14ac:dyDescent="0.3">
      <c r="C699" s="19"/>
      <c r="E699" s="16"/>
    </row>
    <row r="700" spans="3:5" ht="14.25" customHeight="1" x14ac:dyDescent="0.3">
      <c r="C700" s="19"/>
      <c r="E700" s="16"/>
    </row>
    <row r="701" spans="3:5" ht="14.25" customHeight="1" x14ac:dyDescent="0.3">
      <c r="C701" s="19"/>
      <c r="E701" s="16"/>
    </row>
    <row r="702" spans="3:5" ht="14.25" customHeight="1" x14ac:dyDescent="0.3">
      <c r="C702" s="19"/>
      <c r="E702" s="16"/>
    </row>
    <row r="703" spans="3:5" ht="14.25" customHeight="1" x14ac:dyDescent="0.3">
      <c r="C703" s="19"/>
      <c r="E703" s="16"/>
    </row>
    <row r="704" spans="3:5" ht="14.25" customHeight="1" x14ac:dyDescent="0.3">
      <c r="C704" s="19"/>
      <c r="E704" s="16"/>
    </row>
    <row r="705" spans="3:5" ht="14.25" customHeight="1" x14ac:dyDescent="0.3">
      <c r="C705" s="19"/>
      <c r="E705" s="16"/>
    </row>
    <row r="706" spans="3:5" ht="14.25" customHeight="1" x14ac:dyDescent="0.3">
      <c r="C706" s="19"/>
      <c r="E706" s="16"/>
    </row>
    <row r="707" spans="3:5" ht="14.25" customHeight="1" x14ac:dyDescent="0.3">
      <c r="C707" s="19"/>
      <c r="E707" s="16"/>
    </row>
    <row r="708" spans="3:5" ht="14.25" customHeight="1" x14ac:dyDescent="0.3">
      <c r="C708" s="19"/>
      <c r="E708" s="16"/>
    </row>
    <row r="709" spans="3:5" ht="14.25" customHeight="1" x14ac:dyDescent="0.3">
      <c r="C709" s="19"/>
      <c r="E709" s="16"/>
    </row>
    <row r="710" spans="3:5" ht="14.25" customHeight="1" x14ac:dyDescent="0.3">
      <c r="C710" s="19"/>
      <c r="E710" s="16"/>
    </row>
    <row r="711" spans="3:5" ht="14.25" customHeight="1" x14ac:dyDescent="0.3">
      <c r="C711" s="19"/>
      <c r="E711" s="16"/>
    </row>
    <row r="712" spans="3:5" ht="14.25" customHeight="1" x14ac:dyDescent="0.3">
      <c r="C712" s="19"/>
      <c r="E712" s="16"/>
    </row>
    <row r="713" spans="3:5" ht="14.25" customHeight="1" x14ac:dyDescent="0.3">
      <c r="C713" s="19"/>
      <c r="E713" s="16"/>
    </row>
    <row r="714" spans="3:5" ht="14.25" customHeight="1" x14ac:dyDescent="0.3">
      <c r="C714" s="19"/>
      <c r="E714" s="16"/>
    </row>
    <row r="715" spans="3:5" ht="14.25" customHeight="1" x14ac:dyDescent="0.3">
      <c r="C715" s="19"/>
      <c r="E715" s="16"/>
    </row>
    <row r="716" spans="3:5" ht="14.25" customHeight="1" x14ac:dyDescent="0.3">
      <c r="C716" s="19"/>
      <c r="E716" s="16"/>
    </row>
    <row r="717" spans="3:5" ht="14.25" customHeight="1" x14ac:dyDescent="0.3">
      <c r="C717" s="19"/>
      <c r="E717" s="16"/>
    </row>
    <row r="718" spans="3:5" ht="14.25" customHeight="1" x14ac:dyDescent="0.3">
      <c r="C718" s="19"/>
      <c r="E718" s="16"/>
    </row>
    <row r="719" spans="3:5" ht="14.25" customHeight="1" x14ac:dyDescent="0.3">
      <c r="C719" s="19"/>
      <c r="E719" s="16"/>
    </row>
    <row r="720" spans="3:5" ht="14.25" customHeight="1" x14ac:dyDescent="0.3">
      <c r="C720" s="19"/>
      <c r="E720" s="16"/>
    </row>
    <row r="721" spans="3:5" ht="14.25" customHeight="1" x14ac:dyDescent="0.3">
      <c r="C721" s="19"/>
      <c r="E721" s="16"/>
    </row>
    <row r="722" spans="3:5" ht="14.25" customHeight="1" x14ac:dyDescent="0.3">
      <c r="C722" s="19"/>
      <c r="E722" s="16"/>
    </row>
    <row r="723" spans="3:5" ht="14.25" customHeight="1" x14ac:dyDescent="0.3">
      <c r="C723" s="19"/>
      <c r="E723" s="16"/>
    </row>
    <row r="724" spans="3:5" ht="14.25" customHeight="1" x14ac:dyDescent="0.3">
      <c r="C724" s="19"/>
      <c r="E724" s="16"/>
    </row>
    <row r="725" spans="3:5" ht="14.25" customHeight="1" x14ac:dyDescent="0.3">
      <c r="C725" s="19"/>
      <c r="E725" s="16"/>
    </row>
    <row r="726" spans="3:5" ht="14.25" customHeight="1" x14ac:dyDescent="0.3">
      <c r="C726" s="19"/>
      <c r="E726" s="16"/>
    </row>
    <row r="727" spans="3:5" ht="14.25" customHeight="1" x14ac:dyDescent="0.3">
      <c r="C727" s="19"/>
      <c r="E727" s="16"/>
    </row>
    <row r="728" spans="3:5" ht="14.25" customHeight="1" x14ac:dyDescent="0.3">
      <c r="C728" s="19"/>
      <c r="E728" s="16"/>
    </row>
    <row r="729" spans="3:5" ht="14.25" customHeight="1" x14ac:dyDescent="0.3">
      <c r="C729" s="19"/>
      <c r="E729" s="16"/>
    </row>
    <row r="730" spans="3:5" ht="14.25" customHeight="1" x14ac:dyDescent="0.3">
      <c r="C730" s="19"/>
      <c r="E730" s="16"/>
    </row>
    <row r="731" spans="3:5" ht="14.25" customHeight="1" x14ac:dyDescent="0.3">
      <c r="C731" s="19"/>
      <c r="E731" s="16"/>
    </row>
    <row r="732" spans="3:5" ht="14.25" customHeight="1" x14ac:dyDescent="0.3">
      <c r="C732" s="19"/>
      <c r="E732" s="16"/>
    </row>
    <row r="733" spans="3:5" ht="14.25" customHeight="1" x14ac:dyDescent="0.3">
      <c r="C733" s="19"/>
      <c r="E733" s="16"/>
    </row>
    <row r="734" spans="3:5" ht="14.25" customHeight="1" x14ac:dyDescent="0.3">
      <c r="C734" s="19"/>
      <c r="E734" s="16"/>
    </row>
    <row r="735" spans="3:5" ht="14.25" customHeight="1" x14ac:dyDescent="0.3">
      <c r="C735" s="19"/>
      <c r="E735" s="16"/>
    </row>
    <row r="736" spans="3:5" ht="14.25" customHeight="1" x14ac:dyDescent="0.3">
      <c r="C736" s="19"/>
      <c r="E736" s="16"/>
    </row>
    <row r="737" spans="3:5" ht="14.25" customHeight="1" x14ac:dyDescent="0.3">
      <c r="C737" s="19"/>
      <c r="E737" s="16"/>
    </row>
    <row r="738" spans="3:5" ht="14.25" customHeight="1" x14ac:dyDescent="0.3">
      <c r="C738" s="19"/>
      <c r="E738" s="16"/>
    </row>
    <row r="739" spans="3:5" ht="14.25" customHeight="1" x14ac:dyDescent="0.3">
      <c r="C739" s="19"/>
      <c r="E739" s="16"/>
    </row>
    <row r="740" spans="3:5" ht="14.25" customHeight="1" x14ac:dyDescent="0.3">
      <c r="C740" s="19"/>
      <c r="E740" s="16"/>
    </row>
    <row r="741" spans="3:5" ht="14.25" customHeight="1" x14ac:dyDescent="0.3">
      <c r="C741" s="19"/>
      <c r="E741" s="16"/>
    </row>
    <row r="742" spans="3:5" ht="14.25" customHeight="1" x14ac:dyDescent="0.3">
      <c r="C742" s="19"/>
      <c r="E742" s="16"/>
    </row>
    <row r="743" spans="3:5" ht="14.25" customHeight="1" x14ac:dyDescent="0.3">
      <c r="C743" s="19"/>
      <c r="E743" s="16"/>
    </row>
    <row r="744" spans="3:5" ht="14.25" customHeight="1" x14ac:dyDescent="0.3">
      <c r="C744" s="19"/>
      <c r="E744" s="16"/>
    </row>
    <row r="745" spans="3:5" ht="14.25" customHeight="1" x14ac:dyDescent="0.3">
      <c r="C745" s="19"/>
      <c r="E745" s="16"/>
    </row>
    <row r="746" spans="3:5" ht="14.25" customHeight="1" x14ac:dyDescent="0.3">
      <c r="C746" s="19"/>
      <c r="E746" s="16"/>
    </row>
    <row r="747" spans="3:5" ht="14.25" customHeight="1" x14ac:dyDescent="0.3">
      <c r="C747" s="19"/>
      <c r="E747" s="16"/>
    </row>
    <row r="748" spans="3:5" ht="14.25" customHeight="1" x14ac:dyDescent="0.3">
      <c r="C748" s="19"/>
      <c r="E748" s="16"/>
    </row>
    <row r="749" spans="3:5" ht="14.25" customHeight="1" x14ac:dyDescent="0.3">
      <c r="C749" s="19"/>
      <c r="E749" s="16"/>
    </row>
    <row r="750" spans="3:5" ht="14.25" customHeight="1" x14ac:dyDescent="0.3">
      <c r="C750" s="19"/>
      <c r="E750" s="16"/>
    </row>
    <row r="751" spans="3:5" ht="14.25" customHeight="1" x14ac:dyDescent="0.3">
      <c r="C751" s="19"/>
      <c r="E751" s="16"/>
    </row>
    <row r="752" spans="3:5" ht="14.25" customHeight="1" x14ac:dyDescent="0.3">
      <c r="C752" s="19"/>
      <c r="E752" s="16"/>
    </row>
    <row r="753" spans="3:5" ht="14.25" customHeight="1" x14ac:dyDescent="0.3">
      <c r="C753" s="19"/>
      <c r="E753" s="16"/>
    </row>
    <row r="754" spans="3:5" ht="14.25" customHeight="1" x14ac:dyDescent="0.3">
      <c r="C754" s="19"/>
      <c r="E754" s="16"/>
    </row>
    <row r="755" spans="3:5" ht="14.25" customHeight="1" x14ac:dyDescent="0.3">
      <c r="C755" s="19"/>
      <c r="E755" s="16"/>
    </row>
    <row r="756" spans="3:5" ht="14.25" customHeight="1" x14ac:dyDescent="0.3">
      <c r="C756" s="19"/>
      <c r="E756" s="16"/>
    </row>
    <row r="757" spans="3:5" ht="14.25" customHeight="1" x14ac:dyDescent="0.3">
      <c r="C757" s="19"/>
      <c r="E757" s="16"/>
    </row>
    <row r="758" spans="3:5" ht="14.25" customHeight="1" x14ac:dyDescent="0.3">
      <c r="C758" s="19"/>
      <c r="E758" s="16"/>
    </row>
    <row r="759" spans="3:5" ht="14.25" customHeight="1" x14ac:dyDescent="0.3">
      <c r="C759" s="19"/>
      <c r="E759" s="16"/>
    </row>
    <row r="760" spans="3:5" ht="14.25" customHeight="1" x14ac:dyDescent="0.3">
      <c r="C760" s="19"/>
      <c r="E760" s="16"/>
    </row>
    <row r="761" spans="3:5" ht="14.25" customHeight="1" x14ac:dyDescent="0.3">
      <c r="C761" s="19"/>
      <c r="E761" s="16"/>
    </row>
    <row r="762" spans="3:5" ht="14.25" customHeight="1" x14ac:dyDescent="0.3">
      <c r="C762" s="19"/>
      <c r="E762" s="16"/>
    </row>
    <row r="763" spans="3:5" ht="14.25" customHeight="1" x14ac:dyDescent="0.3">
      <c r="C763" s="19"/>
      <c r="E763" s="16"/>
    </row>
    <row r="764" spans="3:5" ht="14.25" customHeight="1" x14ac:dyDescent="0.3">
      <c r="C764" s="19"/>
      <c r="E764" s="16"/>
    </row>
    <row r="765" spans="3:5" ht="14.25" customHeight="1" x14ac:dyDescent="0.3">
      <c r="C765" s="19"/>
      <c r="E765" s="16"/>
    </row>
    <row r="766" spans="3:5" ht="14.25" customHeight="1" x14ac:dyDescent="0.3">
      <c r="C766" s="19"/>
      <c r="E766" s="16"/>
    </row>
    <row r="767" spans="3:5" ht="14.25" customHeight="1" x14ac:dyDescent="0.3">
      <c r="C767" s="19"/>
      <c r="E767" s="16"/>
    </row>
    <row r="768" spans="3:5" ht="14.25" customHeight="1" x14ac:dyDescent="0.3">
      <c r="C768" s="19"/>
      <c r="E768" s="16"/>
    </row>
    <row r="769" spans="3:5" ht="14.25" customHeight="1" x14ac:dyDescent="0.3">
      <c r="C769" s="19"/>
      <c r="E769" s="16"/>
    </row>
    <row r="770" spans="3:5" ht="14.25" customHeight="1" x14ac:dyDescent="0.3">
      <c r="C770" s="19"/>
      <c r="E770" s="16"/>
    </row>
    <row r="771" spans="3:5" ht="14.25" customHeight="1" x14ac:dyDescent="0.3">
      <c r="C771" s="19"/>
      <c r="E771" s="16"/>
    </row>
    <row r="772" spans="3:5" ht="14.25" customHeight="1" x14ac:dyDescent="0.3">
      <c r="C772" s="19"/>
      <c r="E772" s="16"/>
    </row>
    <row r="773" spans="3:5" ht="14.25" customHeight="1" x14ac:dyDescent="0.3">
      <c r="C773" s="19"/>
      <c r="E773" s="16"/>
    </row>
    <row r="774" spans="3:5" ht="14.25" customHeight="1" x14ac:dyDescent="0.3">
      <c r="C774" s="19"/>
      <c r="E774" s="16"/>
    </row>
    <row r="775" spans="3:5" ht="14.25" customHeight="1" x14ac:dyDescent="0.3">
      <c r="C775" s="19"/>
      <c r="E775" s="16"/>
    </row>
    <row r="776" spans="3:5" ht="14.25" customHeight="1" x14ac:dyDescent="0.3">
      <c r="C776" s="19"/>
      <c r="E776" s="16"/>
    </row>
    <row r="777" spans="3:5" ht="14.25" customHeight="1" x14ac:dyDescent="0.3">
      <c r="C777" s="19"/>
      <c r="E777" s="16"/>
    </row>
    <row r="778" spans="3:5" ht="14.25" customHeight="1" x14ac:dyDescent="0.3">
      <c r="C778" s="19"/>
      <c r="E778" s="16"/>
    </row>
    <row r="779" spans="3:5" ht="14.25" customHeight="1" x14ac:dyDescent="0.3">
      <c r="C779" s="19"/>
      <c r="E779" s="16"/>
    </row>
    <row r="780" spans="3:5" ht="14.25" customHeight="1" x14ac:dyDescent="0.3">
      <c r="C780" s="19"/>
      <c r="E780" s="16"/>
    </row>
    <row r="781" spans="3:5" ht="14.25" customHeight="1" x14ac:dyDescent="0.3">
      <c r="C781" s="19"/>
      <c r="E781" s="16"/>
    </row>
    <row r="782" spans="3:5" ht="14.25" customHeight="1" x14ac:dyDescent="0.3">
      <c r="C782" s="19"/>
      <c r="E782" s="16"/>
    </row>
    <row r="783" spans="3:5" ht="14.25" customHeight="1" x14ac:dyDescent="0.3">
      <c r="C783" s="19"/>
      <c r="E783" s="16"/>
    </row>
    <row r="784" spans="3:5" ht="14.25" customHeight="1" x14ac:dyDescent="0.3">
      <c r="C784" s="19"/>
      <c r="E784" s="16"/>
    </row>
    <row r="785" spans="3:5" ht="14.25" customHeight="1" x14ac:dyDescent="0.3">
      <c r="C785" s="19"/>
      <c r="E785" s="16"/>
    </row>
    <row r="786" spans="3:5" ht="14.25" customHeight="1" x14ac:dyDescent="0.3">
      <c r="C786" s="19"/>
      <c r="E786" s="16"/>
    </row>
    <row r="787" spans="3:5" ht="14.25" customHeight="1" x14ac:dyDescent="0.3">
      <c r="C787" s="19"/>
      <c r="E787" s="16"/>
    </row>
    <row r="788" spans="3:5" ht="14.25" customHeight="1" x14ac:dyDescent="0.3">
      <c r="C788" s="19"/>
      <c r="E788" s="16"/>
    </row>
    <row r="789" spans="3:5" ht="14.25" customHeight="1" x14ac:dyDescent="0.3">
      <c r="C789" s="19"/>
      <c r="E789" s="16"/>
    </row>
    <row r="790" spans="3:5" ht="14.25" customHeight="1" x14ac:dyDescent="0.3">
      <c r="C790" s="19"/>
      <c r="E790" s="16"/>
    </row>
    <row r="791" spans="3:5" ht="14.25" customHeight="1" x14ac:dyDescent="0.3">
      <c r="C791" s="19"/>
      <c r="E791" s="16"/>
    </row>
    <row r="792" spans="3:5" ht="14.25" customHeight="1" x14ac:dyDescent="0.3">
      <c r="C792" s="19"/>
      <c r="E792" s="16"/>
    </row>
    <row r="793" spans="3:5" ht="14.25" customHeight="1" x14ac:dyDescent="0.3">
      <c r="C793" s="19"/>
      <c r="E793" s="16"/>
    </row>
    <row r="794" spans="3:5" ht="14.25" customHeight="1" x14ac:dyDescent="0.3">
      <c r="C794" s="19"/>
      <c r="E794" s="16"/>
    </row>
    <row r="795" spans="3:5" ht="14.25" customHeight="1" x14ac:dyDescent="0.3">
      <c r="C795" s="19"/>
      <c r="E795" s="16"/>
    </row>
    <row r="796" spans="3:5" ht="14.25" customHeight="1" x14ac:dyDescent="0.3">
      <c r="C796" s="19"/>
      <c r="E796" s="16"/>
    </row>
    <row r="797" spans="3:5" ht="14.25" customHeight="1" x14ac:dyDescent="0.3">
      <c r="C797" s="19"/>
      <c r="E797" s="16"/>
    </row>
    <row r="798" spans="3:5" ht="14.25" customHeight="1" x14ac:dyDescent="0.3">
      <c r="C798" s="19"/>
      <c r="E798" s="16"/>
    </row>
    <row r="799" spans="3:5" ht="14.25" customHeight="1" x14ac:dyDescent="0.3">
      <c r="C799" s="19"/>
      <c r="E799" s="16"/>
    </row>
    <row r="800" spans="3:5" ht="14.25" customHeight="1" x14ac:dyDescent="0.3">
      <c r="C800" s="19"/>
      <c r="E800" s="16"/>
    </row>
    <row r="801" spans="3:5" ht="14.25" customHeight="1" x14ac:dyDescent="0.3">
      <c r="C801" s="19"/>
      <c r="E801" s="16"/>
    </row>
    <row r="802" spans="3:5" ht="14.25" customHeight="1" x14ac:dyDescent="0.3">
      <c r="C802" s="19"/>
      <c r="E802" s="16"/>
    </row>
    <row r="803" spans="3:5" ht="14.25" customHeight="1" x14ac:dyDescent="0.3">
      <c r="C803" s="19"/>
      <c r="E803" s="16"/>
    </row>
    <row r="804" spans="3:5" ht="14.25" customHeight="1" x14ac:dyDescent="0.3">
      <c r="C804" s="19"/>
      <c r="E804" s="16"/>
    </row>
    <row r="805" spans="3:5" ht="14.25" customHeight="1" x14ac:dyDescent="0.3">
      <c r="C805" s="19"/>
      <c r="E805" s="16"/>
    </row>
    <row r="806" spans="3:5" ht="14.25" customHeight="1" x14ac:dyDescent="0.3">
      <c r="C806" s="19"/>
      <c r="E806" s="16"/>
    </row>
    <row r="807" spans="3:5" ht="14.25" customHeight="1" x14ac:dyDescent="0.3">
      <c r="C807" s="19"/>
      <c r="E807" s="16"/>
    </row>
    <row r="808" spans="3:5" ht="14.25" customHeight="1" x14ac:dyDescent="0.3">
      <c r="C808" s="19"/>
      <c r="E808" s="16"/>
    </row>
    <row r="809" spans="3:5" ht="14.25" customHeight="1" x14ac:dyDescent="0.3">
      <c r="C809" s="19"/>
      <c r="E809" s="16"/>
    </row>
    <row r="810" spans="3:5" ht="14.25" customHeight="1" x14ac:dyDescent="0.3">
      <c r="C810" s="19"/>
      <c r="E810" s="16"/>
    </row>
    <row r="811" spans="3:5" ht="14.25" customHeight="1" x14ac:dyDescent="0.3">
      <c r="C811" s="19"/>
      <c r="E811" s="16"/>
    </row>
    <row r="812" spans="3:5" ht="14.25" customHeight="1" x14ac:dyDescent="0.3">
      <c r="C812" s="19"/>
      <c r="E812" s="16"/>
    </row>
    <row r="813" spans="3:5" ht="14.25" customHeight="1" x14ac:dyDescent="0.3">
      <c r="C813" s="19"/>
      <c r="E813" s="16"/>
    </row>
    <row r="814" spans="3:5" ht="14.25" customHeight="1" x14ac:dyDescent="0.3">
      <c r="C814" s="19"/>
      <c r="E814" s="16"/>
    </row>
    <row r="815" spans="3:5" ht="14.25" customHeight="1" x14ac:dyDescent="0.3">
      <c r="C815" s="19"/>
      <c r="E815" s="16"/>
    </row>
    <row r="816" spans="3:5" ht="14.25" customHeight="1" x14ac:dyDescent="0.3">
      <c r="C816" s="19"/>
      <c r="E816" s="16"/>
    </row>
    <row r="817" spans="3:5" ht="14.25" customHeight="1" x14ac:dyDescent="0.3">
      <c r="C817" s="19"/>
      <c r="E817" s="16"/>
    </row>
    <row r="818" spans="3:5" ht="14.25" customHeight="1" x14ac:dyDescent="0.3">
      <c r="C818" s="19"/>
      <c r="E818" s="16"/>
    </row>
    <row r="819" spans="3:5" ht="14.25" customHeight="1" x14ac:dyDescent="0.3">
      <c r="C819" s="19"/>
      <c r="E819" s="16"/>
    </row>
    <row r="820" spans="3:5" ht="14.25" customHeight="1" x14ac:dyDescent="0.3">
      <c r="C820" s="19"/>
      <c r="E820" s="16"/>
    </row>
    <row r="821" spans="3:5" ht="14.25" customHeight="1" x14ac:dyDescent="0.3">
      <c r="C821" s="19"/>
      <c r="E821" s="16"/>
    </row>
    <row r="822" spans="3:5" ht="14.25" customHeight="1" x14ac:dyDescent="0.3">
      <c r="C822" s="19"/>
      <c r="E822" s="16"/>
    </row>
    <row r="823" spans="3:5" ht="14.25" customHeight="1" x14ac:dyDescent="0.3">
      <c r="C823" s="19"/>
      <c r="E823" s="16"/>
    </row>
    <row r="824" spans="3:5" ht="14.25" customHeight="1" x14ac:dyDescent="0.3">
      <c r="C824" s="19"/>
      <c r="E824" s="16"/>
    </row>
    <row r="825" spans="3:5" ht="14.25" customHeight="1" x14ac:dyDescent="0.3">
      <c r="C825" s="19"/>
      <c r="E825" s="16"/>
    </row>
    <row r="826" spans="3:5" ht="14.25" customHeight="1" x14ac:dyDescent="0.3">
      <c r="C826" s="19"/>
      <c r="E826" s="16"/>
    </row>
    <row r="827" spans="3:5" ht="14.25" customHeight="1" x14ac:dyDescent="0.3">
      <c r="C827" s="19"/>
      <c r="E827" s="16"/>
    </row>
    <row r="828" spans="3:5" ht="14.25" customHeight="1" x14ac:dyDescent="0.3">
      <c r="C828" s="19"/>
      <c r="E828" s="16"/>
    </row>
    <row r="829" spans="3:5" ht="14.25" customHeight="1" x14ac:dyDescent="0.3">
      <c r="C829" s="19"/>
      <c r="E829" s="16"/>
    </row>
    <row r="830" spans="3:5" ht="14.25" customHeight="1" x14ac:dyDescent="0.3">
      <c r="C830" s="19"/>
      <c r="E830" s="16"/>
    </row>
    <row r="831" spans="3:5" ht="14.25" customHeight="1" x14ac:dyDescent="0.3">
      <c r="C831" s="19"/>
      <c r="E831" s="16"/>
    </row>
    <row r="832" spans="3:5" ht="14.25" customHeight="1" x14ac:dyDescent="0.3">
      <c r="C832" s="19"/>
      <c r="E832" s="16"/>
    </row>
    <row r="833" spans="3:5" ht="14.25" customHeight="1" x14ac:dyDescent="0.3">
      <c r="C833" s="19"/>
      <c r="E833" s="16"/>
    </row>
    <row r="834" spans="3:5" ht="14.25" customHeight="1" x14ac:dyDescent="0.3">
      <c r="C834" s="19"/>
      <c r="E834" s="16"/>
    </row>
    <row r="835" spans="3:5" ht="14.25" customHeight="1" x14ac:dyDescent="0.3">
      <c r="C835" s="19"/>
      <c r="E835" s="16"/>
    </row>
    <row r="836" spans="3:5" ht="14.25" customHeight="1" x14ac:dyDescent="0.3">
      <c r="C836" s="19"/>
      <c r="E836" s="16"/>
    </row>
    <row r="837" spans="3:5" ht="14.25" customHeight="1" x14ac:dyDescent="0.3">
      <c r="C837" s="19"/>
      <c r="E837" s="16"/>
    </row>
    <row r="838" spans="3:5" ht="14.25" customHeight="1" x14ac:dyDescent="0.3">
      <c r="C838" s="19"/>
      <c r="E838" s="16"/>
    </row>
    <row r="839" spans="3:5" ht="14.25" customHeight="1" x14ac:dyDescent="0.3">
      <c r="C839" s="19"/>
      <c r="E839" s="16"/>
    </row>
    <row r="840" spans="3:5" ht="14.25" customHeight="1" x14ac:dyDescent="0.3">
      <c r="C840" s="19"/>
      <c r="E840" s="16"/>
    </row>
    <row r="841" spans="3:5" ht="14.25" customHeight="1" x14ac:dyDescent="0.3">
      <c r="C841" s="19"/>
      <c r="E841" s="16"/>
    </row>
    <row r="842" spans="3:5" ht="14.25" customHeight="1" x14ac:dyDescent="0.3">
      <c r="C842" s="19"/>
      <c r="E842" s="16"/>
    </row>
    <row r="843" spans="3:5" ht="14.25" customHeight="1" x14ac:dyDescent="0.3">
      <c r="C843" s="19"/>
      <c r="E843" s="16"/>
    </row>
    <row r="844" spans="3:5" ht="14.25" customHeight="1" x14ac:dyDescent="0.3">
      <c r="C844" s="19"/>
      <c r="E844" s="16"/>
    </row>
    <row r="845" spans="3:5" ht="14.25" customHeight="1" x14ac:dyDescent="0.3">
      <c r="C845" s="19"/>
      <c r="E845" s="16"/>
    </row>
    <row r="846" spans="3:5" ht="14.25" customHeight="1" x14ac:dyDescent="0.3">
      <c r="C846" s="19"/>
      <c r="E846" s="16"/>
    </row>
    <row r="847" spans="3:5" ht="14.25" customHeight="1" x14ac:dyDescent="0.3">
      <c r="C847" s="19"/>
      <c r="E847" s="16"/>
    </row>
    <row r="848" spans="3:5" ht="14.25" customHeight="1" x14ac:dyDescent="0.3">
      <c r="C848" s="19"/>
      <c r="E848" s="16"/>
    </row>
    <row r="849" spans="3:5" ht="14.25" customHeight="1" x14ac:dyDescent="0.3">
      <c r="C849" s="19"/>
      <c r="E849" s="16"/>
    </row>
    <row r="850" spans="3:5" ht="14.25" customHeight="1" x14ac:dyDescent="0.3">
      <c r="C850" s="19"/>
      <c r="E850" s="16"/>
    </row>
    <row r="851" spans="3:5" ht="14.25" customHeight="1" x14ac:dyDescent="0.3">
      <c r="C851" s="19"/>
      <c r="E851" s="16"/>
    </row>
    <row r="852" spans="3:5" ht="14.25" customHeight="1" x14ac:dyDescent="0.3">
      <c r="C852" s="19"/>
      <c r="E852" s="16"/>
    </row>
    <row r="853" spans="3:5" ht="14.25" customHeight="1" x14ac:dyDescent="0.3">
      <c r="C853" s="19"/>
      <c r="E853" s="16"/>
    </row>
    <row r="854" spans="3:5" ht="14.25" customHeight="1" x14ac:dyDescent="0.3">
      <c r="C854" s="19"/>
      <c r="E854" s="16"/>
    </row>
    <row r="855" spans="3:5" ht="14.25" customHeight="1" x14ac:dyDescent="0.3">
      <c r="C855" s="19"/>
      <c r="E855" s="16"/>
    </row>
    <row r="856" spans="3:5" ht="14.25" customHeight="1" x14ac:dyDescent="0.3">
      <c r="C856" s="19"/>
      <c r="E856" s="16"/>
    </row>
    <row r="857" spans="3:5" ht="14.25" customHeight="1" x14ac:dyDescent="0.3">
      <c r="C857" s="19"/>
      <c r="E857" s="16"/>
    </row>
    <row r="858" spans="3:5" ht="14.25" customHeight="1" x14ac:dyDescent="0.3">
      <c r="C858" s="19"/>
      <c r="E858" s="16"/>
    </row>
    <row r="859" spans="3:5" ht="14.25" customHeight="1" x14ac:dyDescent="0.3">
      <c r="C859" s="19"/>
      <c r="E859" s="16"/>
    </row>
    <row r="860" spans="3:5" ht="14.25" customHeight="1" x14ac:dyDescent="0.3">
      <c r="C860" s="19"/>
      <c r="E860" s="16"/>
    </row>
    <row r="861" spans="3:5" ht="14.25" customHeight="1" x14ac:dyDescent="0.3">
      <c r="C861" s="19"/>
      <c r="E861" s="16"/>
    </row>
    <row r="862" spans="3:5" ht="14.25" customHeight="1" x14ac:dyDescent="0.3">
      <c r="C862" s="19"/>
      <c r="E862" s="16"/>
    </row>
    <row r="863" spans="3:5" ht="14.25" customHeight="1" x14ac:dyDescent="0.3">
      <c r="C863" s="19"/>
      <c r="E863" s="16"/>
    </row>
    <row r="864" spans="3:5" ht="14.25" customHeight="1" x14ac:dyDescent="0.3">
      <c r="C864" s="19"/>
      <c r="E864" s="16"/>
    </row>
    <row r="865" spans="3:5" ht="14.25" customHeight="1" x14ac:dyDescent="0.3">
      <c r="C865" s="19"/>
      <c r="E865" s="16"/>
    </row>
    <row r="866" spans="3:5" ht="14.25" customHeight="1" x14ac:dyDescent="0.3">
      <c r="C866" s="19"/>
      <c r="E866" s="16"/>
    </row>
    <row r="867" spans="3:5" ht="14.25" customHeight="1" x14ac:dyDescent="0.3">
      <c r="C867" s="19"/>
      <c r="E867" s="16"/>
    </row>
    <row r="868" spans="3:5" ht="14.25" customHeight="1" x14ac:dyDescent="0.3">
      <c r="C868" s="19"/>
      <c r="E868" s="16"/>
    </row>
    <row r="869" spans="3:5" ht="14.25" customHeight="1" x14ac:dyDescent="0.3">
      <c r="C869" s="19"/>
      <c r="E869" s="16"/>
    </row>
    <row r="870" spans="3:5" ht="14.25" customHeight="1" x14ac:dyDescent="0.3">
      <c r="C870" s="19"/>
      <c r="E870" s="16"/>
    </row>
    <row r="871" spans="3:5" ht="14.25" customHeight="1" x14ac:dyDescent="0.3">
      <c r="C871" s="19"/>
      <c r="E871" s="16"/>
    </row>
    <row r="872" spans="3:5" ht="14.25" customHeight="1" x14ac:dyDescent="0.3">
      <c r="C872" s="19"/>
      <c r="E872" s="16"/>
    </row>
    <row r="873" spans="3:5" ht="14.25" customHeight="1" x14ac:dyDescent="0.3">
      <c r="C873" s="19"/>
      <c r="E873" s="16"/>
    </row>
    <row r="874" spans="3:5" ht="14.25" customHeight="1" x14ac:dyDescent="0.3">
      <c r="C874" s="19"/>
      <c r="E874" s="16"/>
    </row>
    <row r="875" spans="3:5" ht="14.25" customHeight="1" x14ac:dyDescent="0.3">
      <c r="C875" s="19"/>
      <c r="E875" s="16"/>
    </row>
    <row r="876" spans="3:5" ht="14.25" customHeight="1" x14ac:dyDescent="0.3">
      <c r="C876" s="19"/>
      <c r="E876" s="16"/>
    </row>
    <row r="877" spans="3:5" ht="14.25" customHeight="1" x14ac:dyDescent="0.3">
      <c r="C877" s="19"/>
      <c r="E877" s="16"/>
    </row>
    <row r="878" spans="3:5" ht="14.25" customHeight="1" x14ac:dyDescent="0.3">
      <c r="C878" s="19"/>
      <c r="E878" s="16"/>
    </row>
    <row r="879" spans="3:5" ht="14.25" customHeight="1" x14ac:dyDescent="0.3">
      <c r="C879" s="19"/>
      <c r="E879" s="16"/>
    </row>
    <row r="880" spans="3:5" ht="14.25" customHeight="1" x14ac:dyDescent="0.3">
      <c r="C880" s="19"/>
      <c r="E880" s="16"/>
    </row>
    <row r="881" spans="3:5" ht="14.25" customHeight="1" x14ac:dyDescent="0.3">
      <c r="C881" s="19"/>
      <c r="E881" s="16"/>
    </row>
    <row r="882" spans="3:5" ht="14.25" customHeight="1" x14ac:dyDescent="0.3">
      <c r="C882" s="19"/>
      <c r="E882" s="16"/>
    </row>
    <row r="883" spans="3:5" ht="14.25" customHeight="1" x14ac:dyDescent="0.3">
      <c r="C883" s="19"/>
      <c r="E883" s="16"/>
    </row>
    <row r="884" spans="3:5" ht="14.25" customHeight="1" x14ac:dyDescent="0.3">
      <c r="C884" s="19"/>
      <c r="E884" s="16"/>
    </row>
    <row r="885" spans="3:5" ht="14.25" customHeight="1" x14ac:dyDescent="0.3">
      <c r="C885" s="19"/>
      <c r="E885" s="16"/>
    </row>
    <row r="886" spans="3:5" ht="14.25" customHeight="1" x14ac:dyDescent="0.3">
      <c r="C886" s="19"/>
      <c r="E886" s="16"/>
    </row>
    <row r="887" spans="3:5" ht="14.25" customHeight="1" x14ac:dyDescent="0.3">
      <c r="C887" s="19"/>
      <c r="E887" s="16"/>
    </row>
    <row r="888" spans="3:5" ht="14.25" customHeight="1" x14ac:dyDescent="0.3">
      <c r="C888" s="19"/>
      <c r="E888" s="16"/>
    </row>
    <row r="889" spans="3:5" ht="14.25" customHeight="1" x14ac:dyDescent="0.3">
      <c r="C889" s="19"/>
      <c r="E889" s="16"/>
    </row>
    <row r="890" spans="3:5" ht="14.25" customHeight="1" x14ac:dyDescent="0.3">
      <c r="C890" s="19"/>
      <c r="E890" s="16"/>
    </row>
    <row r="891" spans="3:5" ht="14.25" customHeight="1" x14ac:dyDescent="0.3">
      <c r="C891" s="19"/>
      <c r="E891" s="16"/>
    </row>
    <row r="892" spans="3:5" ht="14.25" customHeight="1" x14ac:dyDescent="0.3">
      <c r="C892" s="19"/>
      <c r="E892" s="16"/>
    </row>
    <row r="893" spans="3:5" ht="14.25" customHeight="1" x14ac:dyDescent="0.3">
      <c r="C893" s="19"/>
      <c r="E893" s="16"/>
    </row>
    <row r="894" spans="3:5" ht="14.25" customHeight="1" x14ac:dyDescent="0.3">
      <c r="C894" s="19"/>
      <c r="E894" s="16"/>
    </row>
    <row r="895" spans="3:5" ht="14.25" customHeight="1" x14ac:dyDescent="0.3">
      <c r="C895" s="19"/>
      <c r="E895" s="16"/>
    </row>
    <row r="896" spans="3:5" ht="14.25" customHeight="1" x14ac:dyDescent="0.3">
      <c r="C896" s="19"/>
      <c r="E896" s="16"/>
    </row>
    <row r="897" spans="3:5" ht="14.25" customHeight="1" x14ac:dyDescent="0.3">
      <c r="C897" s="19"/>
      <c r="E897" s="16"/>
    </row>
    <row r="898" spans="3:5" ht="14.25" customHeight="1" x14ac:dyDescent="0.3">
      <c r="C898" s="19"/>
      <c r="E898" s="16"/>
    </row>
    <row r="899" spans="3:5" ht="14.25" customHeight="1" x14ac:dyDescent="0.3">
      <c r="C899" s="19"/>
      <c r="E899" s="16"/>
    </row>
    <row r="900" spans="3:5" ht="14.25" customHeight="1" x14ac:dyDescent="0.3">
      <c r="C900" s="19"/>
      <c r="E900" s="16"/>
    </row>
    <row r="901" spans="3:5" ht="14.25" customHeight="1" x14ac:dyDescent="0.3">
      <c r="C901" s="19"/>
      <c r="E901" s="16"/>
    </row>
    <row r="902" spans="3:5" ht="14.25" customHeight="1" x14ac:dyDescent="0.3">
      <c r="C902" s="19"/>
      <c r="E902" s="16"/>
    </row>
    <row r="903" spans="3:5" ht="14.25" customHeight="1" x14ac:dyDescent="0.3">
      <c r="C903" s="19"/>
      <c r="E903" s="16"/>
    </row>
    <row r="904" spans="3:5" ht="14.25" customHeight="1" x14ac:dyDescent="0.3">
      <c r="C904" s="19"/>
      <c r="E904" s="16"/>
    </row>
    <row r="905" spans="3:5" ht="14.25" customHeight="1" x14ac:dyDescent="0.3">
      <c r="C905" s="19"/>
      <c r="E905" s="16"/>
    </row>
    <row r="906" spans="3:5" ht="14.25" customHeight="1" x14ac:dyDescent="0.3">
      <c r="C906" s="19"/>
      <c r="E906" s="16"/>
    </row>
    <row r="907" spans="3:5" ht="14.25" customHeight="1" x14ac:dyDescent="0.3">
      <c r="C907" s="19"/>
      <c r="E907" s="16"/>
    </row>
    <row r="908" spans="3:5" ht="14.25" customHeight="1" x14ac:dyDescent="0.3">
      <c r="C908" s="19"/>
      <c r="E908" s="16"/>
    </row>
    <row r="909" spans="3:5" ht="14.25" customHeight="1" x14ac:dyDescent="0.3">
      <c r="C909" s="19"/>
      <c r="E909" s="16"/>
    </row>
    <row r="910" spans="3:5" ht="14.25" customHeight="1" x14ac:dyDescent="0.3">
      <c r="C910" s="19"/>
      <c r="E910" s="16"/>
    </row>
    <row r="911" spans="3:5" ht="14.25" customHeight="1" x14ac:dyDescent="0.3">
      <c r="C911" s="19"/>
      <c r="E911" s="16"/>
    </row>
    <row r="912" spans="3:5" ht="14.25" customHeight="1" x14ac:dyDescent="0.3">
      <c r="C912" s="19"/>
      <c r="E912" s="16"/>
    </row>
    <row r="913" spans="3:5" ht="14.25" customHeight="1" x14ac:dyDescent="0.3">
      <c r="C913" s="19"/>
      <c r="E913" s="16"/>
    </row>
    <row r="914" spans="3:5" ht="14.25" customHeight="1" x14ac:dyDescent="0.3">
      <c r="C914" s="19"/>
      <c r="E914" s="16"/>
    </row>
    <row r="915" spans="3:5" ht="14.25" customHeight="1" x14ac:dyDescent="0.3">
      <c r="C915" s="19"/>
      <c r="E915" s="16"/>
    </row>
    <row r="916" spans="3:5" ht="14.25" customHeight="1" x14ac:dyDescent="0.3">
      <c r="C916" s="19"/>
      <c r="E916" s="16"/>
    </row>
    <row r="917" spans="3:5" ht="14.25" customHeight="1" x14ac:dyDescent="0.3">
      <c r="C917" s="19"/>
      <c r="E917" s="16"/>
    </row>
    <row r="918" spans="3:5" ht="14.25" customHeight="1" x14ac:dyDescent="0.3">
      <c r="C918" s="19"/>
      <c r="E918" s="16"/>
    </row>
    <row r="919" spans="3:5" ht="14.25" customHeight="1" x14ac:dyDescent="0.3">
      <c r="C919" s="19"/>
      <c r="E919" s="16"/>
    </row>
    <row r="920" spans="3:5" ht="14.25" customHeight="1" x14ac:dyDescent="0.3">
      <c r="C920" s="19"/>
      <c r="E920" s="16"/>
    </row>
    <row r="921" spans="3:5" ht="14.25" customHeight="1" x14ac:dyDescent="0.3">
      <c r="C921" s="19"/>
      <c r="E921" s="16"/>
    </row>
    <row r="922" spans="3:5" ht="14.25" customHeight="1" x14ac:dyDescent="0.3">
      <c r="C922" s="19"/>
      <c r="E922" s="16"/>
    </row>
    <row r="923" spans="3:5" ht="14.25" customHeight="1" x14ac:dyDescent="0.3">
      <c r="C923" s="19"/>
      <c r="E923" s="16"/>
    </row>
    <row r="924" spans="3:5" ht="14.25" customHeight="1" x14ac:dyDescent="0.3">
      <c r="C924" s="19"/>
      <c r="E924" s="16"/>
    </row>
    <row r="925" spans="3:5" ht="14.25" customHeight="1" x14ac:dyDescent="0.3">
      <c r="C925" s="19"/>
      <c r="E925" s="16"/>
    </row>
    <row r="926" spans="3:5" ht="14.25" customHeight="1" x14ac:dyDescent="0.3">
      <c r="C926" s="19"/>
      <c r="E926" s="16"/>
    </row>
    <row r="927" spans="3:5" ht="14.25" customHeight="1" x14ac:dyDescent="0.3">
      <c r="C927" s="19"/>
      <c r="E927" s="16"/>
    </row>
    <row r="928" spans="3:5" ht="14.25" customHeight="1" x14ac:dyDescent="0.3">
      <c r="C928" s="19"/>
      <c r="E928" s="16"/>
    </row>
    <row r="929" spans="3:5" ht="14.25" customHeight="1" x14ac:dyDescent="0.3">
      <c r="C929" s="19"/>
      <c r="E929" s="16"/>
    </row>
    <row r="930" spans="3:5" ht="14.25" customHeight="1" x14ac:dyDescent="0.3">
      <c r="C930" s="19"/>
      <c r="E930" s="16"/>
    </row>
    <row r="931" spans="3:5" ht="14.25" customHeight="1" x14ac:dyDescent="0.3">
      <c r="C931" s="19"/>
      <c r="E931" s="16"/>
    </row>
    <row r="932" spans="3:5" ht="14.25" customHeight="1" x14ac:dyDescent="0.3">
      <c r="C932" s="19"/>
      <c r="E932" s="16"/>
    </row>
    <row r="933" spans="3:5" ht="14.25" customHeight="1" x14ac:dyDescent="0.3">
      <c r="C933" s="19"/>
      <c r="E933" s="16"/>
    </row>
    <row r="934" spans="3:5" ht="14.25" customHeight="1" x14ac:dyDescent="0.3">
      <c r="C934" s="19"/>
      <c r="E934" s="16"/>
    </row>
    <row r="935" spans="3:5" ht="14.25" customHeight="1" x14ac:dyDescent="0.3">
      <c r="C935" s="19"/>
      <c r="E935" s="16"/>
    </row>
    <row r="936" spans="3:5" ht="14.25" customHeight="1" x14ac:dyDescent="0.3">
      <c r="C936" s="19"/>
      <c r="E936" s="16"/>
    </row>
    <row r="937" spans="3:5" ht="14.25" customHeight="1" x14ac:dyDescent="0.3">
      <c r="C937" s="19"/>
      <c r="E937" s="16"/>
    </row>
    <row r="938" spans="3:5" ht="14.25" customHeight="1" x14ac:dyDescent="0.3">
      <c r="C938" s="19"/>
      <c r="E938" s="16"/>
    </row>
    <row r="939" spans="3:5" ht="14.25" customHeight="1" x14ac:dyDescent="0.3">
      <c r="C939" s="19"/>
      <c r="E939" s="16"/>
    </row>
    <row r="940" spans="3:5" ht="14.25" customHeight="1" x14ac:dyDescent="0.3">
      <c r="C940" s="19"/>
      <c r="E940" s="16"/>
    </row>
    <row r="941" spans="3:5" ht="14.25" customHeight="1" x14ac:dyDescent="0.3">
      <c r="C941" s="19"/>
      <c r="E941" s="16"/>
    </row>
    <row r="942" spans="3:5" ht="14.25" customHeight="1" x14ac:dyDescent="0.3">
      <c r="C942" s="19"/>
      <c r="E942" s="16"/>
    </row>
    <row r="943" spans="3:5" ht="14.25" customHeight="1" x14ac:dyDescent="0.3">
      <c r="C943" s="19"/>
      <c r="E943" s="16"/>
    </row>
    <row r="944" spans="3:5" ht="14.25" customHeight="1" x14ac:dyDescent="0.3">
      <c r="C944" s="19"/>
      <c r="E944" s="16"/>
    </row>
    <row r="945" spans="3:5" ht="14.25" customHeight="1" x14ac:dyDescent="0.3">
      <c r="C945" s="19"/>
      <c r="E945" s="16"/>
    </row>
    <row r="946" spans="3:5" ht="14.25" customHeight="1" x14ac:dyDescent="0.3">
      <c r="C946" s="19"/>
      <c r="E946" s="16"/>
    </row>
    <row r="947" spans="3:5" ht="14.25" customHeight="1" x14ac:dyDescent="0.3">
      <c r="C947" s="19"/>
      <c r="E947" s="16"/>
    </row>
    <row r="948" spans="3:5" ht="14.25" customHeight="1" x14ac:dyDescent="0.3">
      <c r="C948" s="19"/>
      <c r="E948" s="16"/>
    </row>
    <row r="949" spans="3:5" ht="14.25" customHeight="1" x14ac:dyDescent="0.3">
      <c r="C949" s="19"/>
      <c r="E949" s="16"/>
    </row>
    <row r="950" spans="3:5" ht="14.25" customHeight="1" x14ac:dyDescent="0.3">
      <c r="C950" s="19"/>
      <c r="E950" s="16"/>
    </row>
    <row r="951" spans="3:5" ht="14.25" customHeight="1" x14ac:dyDescent="0.3">
      <c r="C951" s="19"/>
      <c r="E951" s="16"/>
    </row>
    <row r="952" spans="3:5" ht="14.25" customHeight="1" x14ac:dyDescent="0.3">
      <c r="C952" s="19"/>
      <c r="E952" s="16"/>
    </row>
    <row r="953" spans="3:5" ht="14.25" customHeight="1" x14ac:dyDescent="0.3">
      <c r="C953" s="19"/>
      <c r="E953" s="16"/>
    </row>
    <row r="954" spans="3:5" ht="14.25" customHeight="1" x14ac:dyDescent="0.3">
      <c r="C954" s="19"/>
      <c r="E954" s="16"/>
    </row>
    <row r="955" spans="3:5" ht="14.25" customHeight="1" x14ac:dyDescent="0.3">
      <c r="C955" s="19"/>
      <c r="E955" s="16"/>
    </row>
    <row r="956" spans="3:5" ht="14.25" customHeight="1" x14ac:dyDescent="0.3">
      <c r="C956" s="19"/>
      <c r="E956" s="16"/>
    </row>
    <row r="957" spans="3:5" ht="14.25" customHeight="1" x14ac:dyDescent="0.3">
      <c r="C957" s="19"/>
      <c r="E957" s="16"/>
    </row>
    <row r="958" spans="3:5" ht="14.25" customHeight="1" x14ac:dyDescent="0.3">
      <c r="C958" s="19"/>
      <c r="E958" s="16"/>
    </row>
    <row r="959" spans="3:5" ht="14.25" customHeight="1" x14ac:dyDescent="0.3">
      <c r="C959" s="19"/>
      <c r="E959" s="16"/>
    </row>
    <row r="960" spans="3:5" ht="14.25" customHeight="1" x14ac:dyDescent="0.3">
      <c r="C960" s="19"/>
      <c r="E960" s="16"/>
    </row>
    <row r="961" spans="3:5" ht="14.25" customHeight="1" x14ac:dyDescent="0.3">
      <c r="C961" s="19"/>
      <c r="E961" s="16"/>
    </row>
    <row r="962" spans="3:5" ht="14.25" customHeight="1" x14ac:dyDescent="0.3">
      <c r="C962" s="19"/>
      <c r="E962" s="16"/>
    </row>
    <row r="963" spans="3:5" ht="14.25" customHeight="1" x14ac:dyDescent="0.3">
      <c r="C963" s="19"/>
      <c r="E963" s="16"/>
    </row>
    <row r="964" spans="3:5" ht="14.25" customHeight="1" x14ac:dyDescent="0.3">
      <c r="C964" s="19"/>
      <c r="E964" s="16"/>
    </row>
    <row r="965" spans="3:5" ht="14.25" customHeight="1" x14ac:dyDescent="0.3">
      <c r="C965" s="19"/>
      <c r="E965" s="16"/>
    </row>
    <row r="966" spans="3:5" ht="14.25" customHeight="1" x14ac:dyDescent="0.3">
      <c r="C966" s="19"/>
      <c r="E966" s="16"/>
    </row>
    <row r="967" spans="3:5" ht="14.25" customHeight="1" x14ac:dyDescent="0.3">
      <c r="C967" s="19"/>
      <c r="E967" s="16"/>
    </row>
    <row r="968" spans="3:5" ht="14.25" customHeight="1" x14ac:dyDescent="0.3">
      <c r="C968" s="19"/>
      <c r="E968" s="16"/>
    </row>
    <row r="969" spans="3:5" ht="14.25" customHeight="1" x14ac:dyDescent="0.3">
      <c r="C969" s="19"/>
      <c r="E969" s="16"/>
    </row>
    <row r="970" spans="3:5" ht="14.25" customHeight="1" x14ac:dyDescent="0.3">
      <c r="C970" s="19"/>
      <c r="E970" s="16"/>
    </row>
    <row r="971" spans="3:5" ht="14.25" customHeight="1" x14ac:dyDescent="0.3">
      <c r="C971" s="19"/>
      <c r="E971" s="16"/>
    </row>
    <row r="972" spans="3:5" ht="14.25" customHeight="1" x14ac:dyDescent="0.3">
      <c r="C972" s="19"/>
      <c r="E972" s="16"/>
    </row>
    <row r="973" spans="3:5" ht="14.25" customHeight="1" x14ac:dyDescent="0.3">
      <c r="C973" s="19"/>
      <c r="E973" s="16"/>
    </row>
    <row r="974" spans="3:5" ht="14.25" customHeight="1" x14ac:dyDescent="0.3">
      <c r="C974" s="19"/>
      <c r="E974" s="16"/>
    </row>
    <row r="975" spans="3:5" ht="14.25" customHeight="1" x14ac:dyDescent="0.3">
      <c r="C975" s="19"/>
      <c r="E975" s="16"/>
    </row>
    <row r="976" spans="3:5" ht="14.25" customHeight="1" x14ac:dyDescent="0.3">
      <c r="C976" s="19"/>
      <c r="E976" s="16"/>
    </row>
    <row r="977" spans="3:5" ht="14.25" customHeight="1" x14ac:dyDescent="0.3">
      <c r="C977" s="19"/>
      <c r="E977" s="16"/>
    </row>
    <row r="978" spans="3:5" ht="14.25" customHeight="1" x14ac:dyDescent="0.3">
      <c r="C978" s="19"/>
      <c r="E978" s="16"/>
    </row>
    <row r="979" spans="3:5" ht="14.25" customHeight="1" x14ac:dyDescent="0.3">
      <c r="C979" s="19"/>
      <c r="E979" s="16"/>
    </row>
    <row r="980" spans="3:5" ht="14.25" customHeight="1" x14ac:dyDescent="0.3">
      <c r="C980" s="19"/>
      <c r="E980" s="16"/>
    </row>
    <row r="981" spans="3:5" ht="14.25" customHeight="1" x14ac:dyDescent="0.3">
      <c r="C981" s="19"/>
      <c r="E981" s="16"/>
    </row>
    <row r="982" spans="3:5" ht="14.25" customHeight="1" x14ac:dyDescent="0.3">
      <c r="C982" s="19"/>
      <c r="E982" s="16"/>
    </row>
    <row r="983" spans="3:5" ht="14.25" customHeight="1" x14ac:dyDescent="0.3">
      <c r="C983" s="19"/>
      <c r="E983" s="16"/>
    </row>
    <row r="984" spans="3:5" ht="14.25" customHeight="1" x14ac:dyDescent="0.3">
      <c r="C984" s="19"/>
      <c r="E984" s="16"/>
    </row>
    <row r="985" spans="3:5" ht="14.25" customHeight="1" x14ac:dyDescent="0.3">
      <c r="C985" s="19"/>
      <c r="E985" s="16"/>
    </row>
    <row r="986" spans="3:5" ht="14.25" customHeight="1" x14ac:dyDescent="0.3">
      <c r="C986" s="19"/>
      <c r="E986" s="16"/>
    </row>
    <row r="987" spans="3:5" ht="14.25" customHeight="1" x14ac:dyDescent="0.3">
      <c r="C987" s="19"/>
      <c r="E987" s="16"/>
    </row>
    <row r="988" spans="3:5" ht="14.25" customHeight="1" x14ac:dyDescent="0.3">
      <c r="C988" s="19"/>
      <c r="E988" s="16"/>
    </row>
    <row r="989" spans="3:5" ht="14.25" customHeight="1" x14ac:dyDescent="0.3">
      <c r="C989" s="19"/>
      <c r="E989" s="16"/>
    </row>
    <row r="990" spans="3:5" ht="14.25" customHeight="1" x14ac:dyDescent="0.3">
      <c r="C990" s="19"/>
      <c r="E990" s="16"/>
    </row>
    <row r="991" spans="3:5" ht="14.25" customHeight="1" x14ac:dyDescent="0.3">
      <c r="C991" s="19"/>
      <c r="E991" s="16"/>
    </row>
    <row r="992" spans="3:5" ht="14.25" customHeight="1" x14ac:dyDescent="0.3">
      <c r="C992" s="19"/>
      <c r="E992" s="16"/>
    </row>
    <row r="993" spans="3:5" ht="14.25" customHeight="1" x14ac:dyDescent="0.3">
      <c r="C993" s="19"/>
      <c r="E993" s="16"/>
    </row>
    <row r="994" spans="3:5" ht="14.25" customHeight="1" x14ac:dyDescent="0.3">
      <c r="C994" s="19"/>
      <c r="E994" s="16"/>
    </row>
    <row r="995" spans="3:5" ht="14.25" customHeight="1" x14ac:dyDescent="0.3">
      <c r="C995" s="19"/>
      <c r="E995" s="16"/>
    </row>
    <row r="996" spans="3:5" ht="14.25" customHeight="1" x14ac:dyDescent="0.3">
      <c r="C996" s="19"/>
      <c r="E996" s="16"/>
    </row>
    <row r="997" spans="3:5" ht="14.25" customHeight="1" x14ac:dyDescent="0.3">
      <c r="C997" s="19"/>
      <c r="E997" s="16"/>
    </row>
    <row r="998" spans="3:5" ht="14.25" customHeight="1" x14ac:dyDescent="0.3">
      <c r="C998" s="19"/>
      <c r="E998" s="16"/>
    </row>
  </sheetData>
  <autoFilter ref="B3:G48" xr:uid="{00000000-0001-0000-0300-000000000000}"/>
  <mergeCells count="30">
    <mergeCell ref="B28:B30"/>
    <mergeCell ref="B31:B33"/>
    <mergeCell ref="G16:G18"/>
    <mergeCell ref="G19:G21"/>
    <mergeCell ref="G22:G24"/>
    <mergeCell ref="G25:G27"/>
    <mergeCell ref="G28:G30"/>
    <mergeCell ref="G31:G33"/>
    <mergeCell ref="B16:B18"/>
    <mergeCell ref="B19:B21"/>
    <mergeCell ref="B22:B24"/>
    <mergeCell ref="B25:B27"/>
    <mergeCell ref="G13:G15"/>
    <mergeCell ref="B4:B6"/>
    <mergeCell ref="G4:G6"/>
    <mergeCell ref="B7:B9"/>
    <mergeCell ref="G7:G9"/>
    <mergeCell ref="B10:B12"/>
    <mergeCell ref="G10:G12"/>
    <mergeCell ref="B13:B15"/>
    <mergeCell ref="B43:B45"/>
    <mergeCell ref="G43:G45"/>
    <mergeCell ref="B46:B48"/>
    <mergeCell ref="G46:G48"/>
    <mergeCell ref="B34:B36"/>
    <mergeCell ref="G34:G36"/>
    <mergeCell ref="B37:B39"/>
    <mergeCell ref="G37:G39"/>
    <mergeCell ref="B40:B42"/>
    <mergeCell ref="G40:G42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'1) Planilla maestra insumos'!$B$3:$B$50</xm:f>
          </x14:formula1>
          <xm:sqref>C4:C998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6.33203125" customWidth="1"/>
    <col min="3" max="3" width="22.33203125" customWidth="1"/>
    <col min="4" max="4" width="21.33203125" customWidth="1"/>
    <col min="5" max="5" width="10.6640625" customWidth="1"/>
    <col min="6" max="6" width="18.5546875" customWidth="1"/>
    <col min="7" max="7" width="18" customWidth="1"/>
    <col min="8" max="8" width="19.33203125" customWidth="1"/>
    <col min="9" max="9" width="20.44140625" customWidth="1"/>
    <col min="10" max="10" width="10.6640625" customWidth="1"/>
    <col min="11" max="11" width="11.5546875" customWidth="1"/>
    <col min="12" max="26" width="10.6640625" customWidth="1"/>
  </cols>
  <sheetData>
    <row r="1" spans="2:11" ht="14.25" customHeight="1" x14ac:dyDescent="0.3">
      <c r="D1" s="2"/>
      <c r="F1" s="2"/>
      <c r="G1" s="2"/>
      <c r="H1" s="2"/>
      <c r="K1" s="24"/>
    </row>
    <row r="2" spans="2:11" ht="14.25" customHeight="1" x14ac:dyDescent="0.3">
      <c r="B2" s="25" t="s">
        <v>73</v>
      </c>
      <c r="C2" s="25" t="s">
        <v>89</v>
      </c>
      <c r="D2" s="26" t="s">
        <v>90</v>
      </c>
      <c r="E2" s="25" t="s">
        <v>75</v>
      </c>
      <c r="F2" s="26" t="s">
        <v>91</v>
      </c>
      <c r="G2" s="26" t="s">
        <v>92</v>
      </c>
      <c r="H2" s="26" t="s">
        <v>76</v>
      </c>
      <c r="I2" s="26" t="s">
        <v>93</v>
      </c>
      <c r="J2" s="26" t="s">
        <v>94</v>
      </c>
      <c r="K2" s="27" t="s">
        <v>95</v>
      </c>
    </row>
    <row r="3" spans="2:11" ht="14.25" customHeight="1" x14ac:dyDescent="0.3">
      <c r="B3" s="113" t="s">
        <v>77</v>
      </c>
      <c r="C3" s="28" t="s">
        <v>66</v>
      </c>
      <c r="D3" s="29" t="str">
        <f t="shared" ref="D3:D9" si="0">+IFERROR(VLOOKUP(C3,Prodfinales,2,FALSE),"")</f>
        <v/>
      </c>
      <c r="E3" s="28">
        <v>2</v>
      </c>
      <c r="F3" s="29" t="str">
        <f t="shared" ref="F3:F9" si="1">+IFERROR(D3*E3,"")</f>
        <v/>
      </c>
      <c r="G3" s="111" t="str">
        <f>+IFERROR(VLOOKUP(B3,Pack,6,FALSE),"")</f>
        <v/>
      </c>
      <c r="H3" s="111" t="str">
        <f>+IFERROR(SUM(F3:F9)+G3,"")</f>
        <v/>
      </c>
      <c r="I3" s="111">
        <v>10000</v>
      </c>
      <c r="J3" s="111" t="e">
        <f>+I3-H3</f>
        <v>#VALUE!</v>
      </c>
      <c r="K3" s="112" t="e">
        <f>(J3/I3)</f>
        <v>#VALUE!</v>
      </c>
    </row>
    <row r="4" spans="2:11" ht="14.25" customHeight="1" x14ac:dyDescent="0.3">
      <c r="B4" s="104"/>
      <c r="C4" s="15" t="s">
        <v>70</v>
      </c>
      <c r="D4" s="13" t="str">
        <f t="shared" si="0"/>
        <v/>
      </c>
      <c r="E4" s="15">
        <v>2</v>
      </c>
      <c r="F4" s="13" t="str">
        <f t="shared" si="1"/>
        <v/>
      </c>
      <c r="G4" s="104"/>
      <c r="H4" s="104"/>
      <c r="I4" s="104"/>
      <c r="J4" s="104"/>
      <c r="K4" s="104"/>
    </row>
    <row r="5" spans="2:11" ht="14.25" customHeight="1" x14ac:dyDescent="0.3">
      <c r="B5" s="104"/>
      <c r="C5" s="28" t="s">
        <v>68</v>
      </c>
      <c r="D5" s="29" t="str">
        <f t="shared" si="0"/>
        <v/>
      </c>
      <c r="E5" s="28">
        <v>2</v>
      </c>
      <c r="F5" s="29" t="str">
        <f t="shared" si="1"/>
        <v/>
      </c>
      <c r="G5" s="104"/>
      <c r="H5" s="104"/>
      <c r="I5" s="104"/>
      <c r="J5" s="104"/>
      <c r="K5" s="104"/>
    </row>
    <row r="6" spans="2:11" ht="14.25" customHeight="1" x14ac:dyDescent="0.3">
      <c r="B6" s="104"/>
      <c r="C6" s="28" t="s">
        <v>57</v>
      </c>
      <c r="D6" s="29" t="str">
        <f t="shared" si="0"/>
        <v/>
      </c>
      <c r="E6" s="28">
        <v>2</v>
      </c>
      <c r="F6" s="29" t="str">
        <f t="shared" si="1"/>
        <v/>
      </c>
      <c r="G6" s="104"/>
      <c r="H6" s="104"/>
      <c r="I6" s="104"/>
      <c r="J6" s="104"/>
      <c r="K6" s="104"/>
    </row>
    <row r="7" spans="2:11" ht="14.25" customHeight="1" x14ac:dyDescent="0.3">
      <c r="B7" s="104"/>
      <c r="C7" s="15" t="s">
        <v>59</v>
      </c>
      <c r="D7" s="13" t="str">
        <f t="shared" si="0"/>
        <v/>
      </c>
      <c r="E7" s="15">
        <v>2</v>
      </c>
      <c r="F7" s="13" t="str">
        <f t="shared" si="1"/>
        <v/>
      </c>
      <c r="G7" s="104"/>
      <c r="H7" s="104"/>
      <c r="I7" s="104"/>
      <c r="J7" s="104"/>
      <c r="K7" s="104"/>
    </row>
    <row r="8" spans="2:11" ht="14.25" customHeight="1" x14ac:dyDescent="0.3">
      <c r="B8" s="104"/>
      <c r="C8" s="28"/>
      <c r="D8" s="29" t="str">
        <f t="shared" si="0"/>
        <v/>
      </c>
      <c r="E8" s="28"/>
      <c r="F8" s="29" t="str">
        <f t="shared" si="1"/>
        <v/>
      </c>
      <c r="G8" s="104"/>
      <c r="H8" s="104"/>
      <c r="I8" s="104"/>
      <c r="J8" s="104"/>
      <c r="K8" s="104"/>
    </row>
    <row r="9" spans="2:11" ht="14.25" customHeight="1" x14ac:dyDescent="0.3">
      <c r="B9" s="105"/>
      <c r="C9" s="15"/>
      <c r="D9" s="13" t="str">
        <f t="shared" si="0"/>
        <v/>
      </c>
      <c r="E9" s="15"/>
      <c r="F9" s="13" t="str">
        <f t="shared" si="1"/>
        <v/>
      </c>
      <c r="G9" s="105"/>
      <c r="H9" s="105"/>
      <c r="I9" s="105"/>
      <c r="J9" s="105"/>
      <c r="K9" s="105"/>
    </row>
    <row r="10" spans="2:11" ht="14.25" customHeight="1" x14ac:dyDescent="0.3">
      <c r="B10" s="25" t="s">
        <v>73</v>
      </c>
      <c r="C10" s="25" t="s">
        <v>89</v>
      </c>
      <c r="D10" s="26" t="s">
        <v>90</v>
      </c>
      <c r="E10" s="25" t="s">
        <v>75</v>
      </c>
      <c r="F10" s="26" t="s">
        <v>91</v>
      </c>
      <c r="G10" s="26" t="s">
        <v>92</v>
      </c>
      <c r="H10" s="26" t="s">
        <v>76</v>
      </c>
      <c r="I10" s="26" t="s">
        <v>96</v>
      </c>
      <c r="J10" s="26" t="s">
        <v>94</v>
      </c>
      <c r="K10" s="27" t="s">
        <v>95</v>
      </c>
    </row>
    <row r="11" spans="2:11" ht="14.25" customHeight="1" x14ac:dyDescent="0.3">
      <c r="B11" s="113" t="s">
        <v>78</v>
      </c>
      <c r="C11" s="28" t="s">
        <v>69</v>
      </c>
      <c r="D11" s="29" t="str">
        <f t="shared" ref="D11:D18" si="2">+IFERROR(VLOOKUP(C11,Prodfinales,2,FALSE),"")</f>
        <v/>
      </c>
      <c r="E11" s="28">
        <v>3</v>
      </c>
      <c r="F11" s="29" t="str">
        <f t="shared" ref="F11:F18" si="3">+IFERROR(D11*E11,"")</f>
        <v/>
      </c>
      <c r="G11" s="111" t="str">
        <f>+IFERROR(VLOOKUP(B11,Pack,6,FALSE),"")</f>
        <v/>
      </c>
      <c r="H11" s="111" t="str">
        <f>+IFERROR(SUM(F11:F18)+G11,"")</f>
        <v/>
      </c>
      <c r="I11" s="111">
        <v>16000</v>
      </c>
      <c r="J11" s="111" t="e">
        <f>+I11-H11</f>
        <v>#VALUE!</v>
      </c>
      <c r="K11" s="112" t="e">
        <f>(J11/I11)</f>
        <v>#VALUE!</v>
      </c>
    </row>
    <row r="12" spans="2:11" ht="14.25" customHeight="1" x14ac:dyDescent="0.3">
      <c r="B12" s="104"/>
      <c r="C12" s="15" t="s">
        <v>68</v>
      </c>
      <c r="D12" s="13" t="str">
        <f t="shared" si="2"/>
        <v/>
      </c>
      <c r="E12" s="15">
        <v>3</v>
      </c>
      <c r="F12" s="13" t="str">
        <f t="shared" si="3"/>
        <v/>
      </c>
      <c r="G12" s="104"/>
      <c r="H12" s="104"/>
      <c r="I12" s="104"/>
      <c r="J12" s="104"/>
      <c r="K12" s="104"/>
    </row>
    <row r="13" spans="2:11" ht="14.25" customHeight="1" x14ac:dyDescent="0.3">
      <c r="B13" s="104"/>
      <c r="C13" s="28" t="s">
        <v>70</v>
      </c>
      <c r="D13" s="29" t="str">
        <f t="shared" si="2"/>
        <v/>
      </c>
      <c r="E13" s="28">
        <v>3</v>
      </c>
      <c r="F13" s="29" t="str">
        <f t="shared" si="3"/>
        <v/>
      </c>
      <c r="G13" s="104"/>
      <c r="H13" s="104"/>
      <c r="I13" s="104"/>
      <c r="J13" s="104"/>
      <c r="K13" s="104"/>
    </row>
    <row r="14" spans="2:11" ht="14.25" customHeight="1" x14ac:dyDescent="0.3">
      <c r="B14" s="104"/>
      <c r="C14" s="15" t="s">
        <v>66</v>
      </c>
      <c r="D14" s="13" t="str">
        <f t="shared" si="2"/>
        <v/>
      </c>
      <c r="E14" s="15">
        <v>3</v>
      </c>
      <c r="F14" s="13" t="str">
        <f t="shared" si="3"/>
        <v/>
      </c>
      <c r="G14" s="104"/>
      <c r="H14" s="104"/>
      <c r="I14" s="104"/>
      <c r="J14" s="104"/>
      <c r="K14" s="104"/>
    </row>
    <row r="15" spans="2:11" ht="14.25" customHeight="1" x14ac:dyDescent="0.3">
      <c r="B15" s="104"/>
      <c r="C15" s="28" t="s">
        <v>59</v>
      </c>
      <c r="D15" s="29" t="str">
        <f t="shared" si="2"/>
        <v/>
      </c>
      <c r="E15" s="28">
        <v>2</v>
      </c>
      <c r="F15" s="29" t="str">
        <f t="shared" si="3"/>
        <v/>
      </c>
      <c r="G15" s="104"/>
      <c r="H15" s="104"/>
      <c r="I15" s="104"/>
      <c r="J15" s="104"/>
      <c r="K15" s="104"/>
    </row>
    <row r="16" spans="2:11" ht="14.25" customHeight="1" x14ac:dyDescent="0.3">
      <c r="B16" s="104"/>
      <c r="C16" s="15" t="s">
        <v>57</v>
      </c>
      <c r="D16" s="13" t="str">
        <f t="shared" si="2"/>
        <v/>
      </c>
      <c r="E16" s="15">
        <v>2</v>
      </c>
      <c r="F16" s="13" t="str">
        <f t="shared" si="3"/>
        <v/>
      </c>
      <c r="G16" s="104"/>
      <c r="H16" s="104"/>
      <c r="I16" s="104"/>
      <c r="J16" s="104"/>
      <c r="K16" s="104"/>
    </row>
    <row r="17" spans="2:11" ht="14.25" customHeight="1" x14ac:dyDescent="0.3">
      <c r="B17" s="104"/>
      <c r="C17" s="28" t="s">
        <v>60</v>
      </c>
      <c r="D17" s="29" t="str">
        <f t="shared" si="2"/>
        <v/>
      </c>
      <c r="E17" s="28">
        <v>2</v>
      </c>
      <c r="F17" s="29" t="str">
        <f t="shared" si="3"/>
        <v/>
      </c>
      <c r="G17" s="104"/>
      <c r="H17" s="104"/>
      <c r="I17" s="104"/>
      <c r="J17" s="104"/>
      <c r="K17" s="104"/>
    </row>
    <row r="18" spans="2:11" ht="14.25" customHeight="1" x14ac:dyDescent="0.3">
      <c r="B18" s="105"/>
      <c r="C18" s="15"/>
      <c r="D18" s="13" t="str">
        <f t="shared" si="2"/>
        <v/>
      </c>
      <c r="E18" s="15"/>
      <c r="F18" s="13" t="str">
        <f t="shared" si="3"/>
        <v/>
      </c>
      <c r="G18" s="105"/>
      <c r="H18" s="105"/>
      <c r="I18" s="105"/>
      <c r="J18" s="105"/>
      <c r="K18" s="105"/>
    </row>
    <row r="19" spans="2:11" ht="14.25" customHeight="1" x14ac:dyDescent="0.3">
      <c r="B19" s="25" t="s">
        <v>73</v>
      </c>
      <c r="C19" s="25" t="s">
        <v>89</v>
      </c>
      <c r="D19" s="26" t="s">
        <v>90</v>
      </c>
      <c r="E19" s="25" t="s">
        <v>75</v>
      </c>
      <c r="F19" s="26" t="s">
        <v>91</v>
      </c>
      <c r="G19" s="26" t="s">
        <v>92</v>
      </c>
      <c r="H19" s="26" t="s">
        <v>76</v>
      </c>
      <c r="I19" s="26" t="s">
        <v>96</v>
      </c>
      <c r="J19" s="26" t="s">
        <v>94</v>
      </c>
      <c r="K19" s="27" t="s">
        <v>95</v>
      </c>
    </row>
    <row r="20" spans="2:11" ht="14.25" customHeight="1" x14ac:dyDescent="0.3">
      <c r="B20" s="113" t="s">
        <v>85</v>
      </c>
      <c r="C20" s="28" t="s">
        <v>64</v>
      </c>
      <c r="D20" s="29" t="str">
        <f>+IFERROR(VLOOKUP(C20,Prodfinales,2,FALSE),"")</f>
        <v/>
      </c>
      <c r="E20" s="28">
        <v>1</v>
      </c>
      <c r="F20" s="29" t="str">
        <f t="shared" ref="F20:F22" si="4">+IFERROR(D20*E20,"")</f>
        <v/>
      </c>
      <c r="G20" s="111" t="str">
        <f>+IFERROR(VLOOKUP(B20,Pack,6,FALSE),"")</f>
        <v/>
      </c>
      <c r="H20" s="111" t="str">
        <f>+IFERROR(SUM(F20:F22)+G20,"")</f>
        <v/>
      </c>
      <c r="I20" s="111">
        <v>10000</v>
      </c>
      <c r="J20" s="111" t="e">
        <f>+I20-H20</f>
        <v>#VALUE!</v>
      </c>
      <c r="K20" s="112" t="e">
        <f>(J20/I20)</f>
        <v>#VALUE!</v>
      </c>
    </row>
    <row r="21" spans="2:11" ht="14.25" customHeight="1" x14ac:dyDescent="0.3">
      <c r="B21" s="104"/>
      <c r="C21" s="15" t="s">
        <v>65</v>
      </c>
      <c r="D21" s="13" t="str">
        <f>+IFERROR(VLOOKUP(C21,Prodfinales,2,FALSE),"")</f>
        <v/>
      </c>
      <c r="E21" s="15">
        <v>1</v>
      </c>
      <c r="F21" s="13" t="str">
        <f t="shared" si="4"/>
        <v/>
      </c>
      <c r="G21" s="104"/>
      <c r="H21" s="104"/>
      <c r="I21" s="104"/>
      <c r="J21" s="104"/>
      <c r="K21" s="104"/>
    </row>
    <row r="22" spans="2:11" ht="14.25" customHeight="1" x14ac:dyDescent="0.3">
      <c r="B22" s="105"/>
      <c r="C22" s="28" t="s">
        <v>63</v>
      </c>
      <c r="D22" s="29" t="str">
        <f>+IFERROR(VLOOKUP(C22,Prodfinales,2,FALSE),"")</f>
        <v/>
      </c>
      <c r="E22" s="28">
        <v>1</v>
      </c>
      <c r="F22" s="29" t="str">
        <f t="shared" si="4"/>
        <v/>
      </c>
      <c r="G22" s="105"/>
      <c r="H22" s="105"/>
      <c r="I22" s="105"/>
      <c r="J22" s="105"/>
      <c r="K22" s="105"/>
    </row>
    <row r="23" spans="2:11" ht="14.25" customHeight="1" x14ac:dyDescent="0.3">
      <c r="B23" s="25" t="s">
        <v>73</v>
      </c>
      <c r="C23" s="25" t="s">
        <v>89</v>
      </c>
      <c r="D23" s="26" t="s">
        <v>90</v>
      </c>
      <c r="E23" s="25" t="s">
        <v>75</v>
      </c>
      <c r="F23" s="26" t="s">
        <v>91</v>
      </c>
      <c r="G23" s="26" t="s">
        <v>92</v>
      </c>
      <c r="H23" s="26" t="s">
        <v>76</v>
      </c>
      <c r="I23" s="26" t="s">
        <v>96</v>
      </c>
      <c r="J23" s="26" t="s">
        <v>94</v>
      </c>
      <c r="K23" s="27" t="s">
        <v>95</v>
      </c>
    </row>
    <row r="24" spans="2:11" ht="14.25" customHeight="1" x14ac:dyDescent="0.3">
      <c r="B24" s="113" t="s">
        <v>80</v>
      </c>
      <c r="C24" s="28" t="s">
        <v>60</v>
      </c>
      <c r="D24" s="29" t="str">
        <f>+IFERROR(VLOOKUP(C24,Prodfinales,2,FALSE),"")</f>
        <v/>
      </c>
      <c r="E24" s="28">
        <v>2</v>
      </c>
      <c r="F24" s="29" t="str">
        <f t="shared" ref="F24:F26" si="5">+IFERROR(D24*E24,"")</f>
        <v/>
      </c>
      <c r="G24" s="111" t="str">
        <f>+IFERROR(VLOOKUP(B24,Pack,6,FALSE),"")</f>
        <v/>
      </c>
      <c r="H24" s="111" t="str">
        <f>+IFERROR(SUM(F24:F26)+G24,"")</f>
        <v/>
      </c>
      <c r="I24" s="111">
        <v>8500</v>
      </c>
      <c r="J24" s="111" t="e">
        <f>+I24-H24</f>
        <v>#VALUE!</v>
      </c>
      <c r="K24" s="112" t="e">
        <f>(J24/I24)</f>
        <v>#VALUE!</v>
      </c>
    </row>
    <row r="25" spans="2:11" ht="14.25" customHeight="1" x14ac:dyDescent="0.3">
      <c r="B25" s="104"/>
      <c r="C25" s="15" t="s">
        <v>59</v>
      </c>
      <c r="D25" s="13" t="str">
        <f>+IFERROR(VLOOKUP(C25,Prodfinales,2,FALSE),"")</f>
        <v/>
      </c>
      <c r="E25" s="15">
        <v>2</v>
      </c>
      <c r="F25" s="13" t="str">
        <f t="shared" si="5"/>
        <v/>
      </c>
      <c r="G25" s="104"/>
      <c r="H25" s="104"/>
      <c r="I25" s="104"/>
      <c r="J25" s="104"/>
      <c r="K25" s="104"/>
    </row>
    <row r="26" spans="2:11" ht="14.25" customHeight="1" x14ac:dyDescent="0.3">
      <c r="B26" s="105"/>
      <c r="C26" s="28" t="s">
        <v>57</v>
      </c>
      <c r="D26" s="29" t="str">
        <f>+IFERROR(VLOOKUP(C26,Prodfinales,2,FALSE),"")</f>
        <v/>
      </c>
      <c r="E26" s="28">
        <v>2</v>
      </c>
      <c r="F26" s="29" t="str">
        <f t="shared" si="5"/>
        <v/>
      </c>
      <c r="G26" s="105"/>
      <c r="H26" s="105"/>
      <c r="I26" s="105"/>
      <c r="J26" s="105"/>
      <c r="K26" s="105"/>
    </row>
    <row r="27" spans="2:11" ht="14.25" customHeight="1" x14ac:dyDescent="0.3">
      <c r="B27" s="25" t="s">
        <v>73</v>
      </c>
      <c r="C27" s="25" t="s">
        <v>89</v>
      </c>
      <c r="D27" s="26" t="s">
        <v>90</v>
      </c>
      <c r="E27" s="25" t="s">
        <v>75</v>
      </c>
      <c r="F27" s="26" t="s">
        <v>91</v>
      </c>
      <c r="G27" s="26" t="s">
        <v>92</v>
      </c>
      <c r="H27" s="26" t="s">
        <v>76</v>
      </c>
      <c r="I27" s="26" t="s">
        <v>96</v>
      </c>
      <c r="J27" s="26" t="s">
        <v>94</v>
      </c>
      <c r="K27" s="27" t="s">
        <v>95</v>
      </c>
    </row>
    <row r="28" spans="2:11" ht="14.25" customHeight="1" x14ac:dyDescent="0.3">
      <c r="B28" s="113" t="s">
        <v>83</v>
      </c>
      <c r="C28" s="28" t="s">
        <v>66</v>
      </c>
      <c r="D28" s="29" t="str">
        <f>+IFERROR(VLOOKUP(C28,Prodfinales,2,FALSE),"")</f>
        <v/>
      </c>
      <c r="E28" s="28">
        <v>3</v>
      </c>
      <c r="F28" s="29" t="str">
        <f t="shared" ref="F28:F31" si="6">+IFERROR(D28*E28,"")</f>
        <v/>
      </c>
      <c r="G28" s="111" t="str">
        <f>+IFERROR(VLOOKUP(B28,Pack,6,FALSE),"")</f>
        <v/>
      </c>
      <c r="H28" s="111" t="str">
        <f>+IFERROR(SUM(F28:F31)+G28,"")</f>
        <v/>
      </c>
      <c r="I28" s="111">
        <v>8500</v>
      </c>
      <c r="J28" s="111" t="e">
        <f>+I28-H28</f>
        <v>#VALUE!</v>
      </c>
      <c r="K28" s="112" t="e">
        <f>(J28/I28)</f>
        <v>#VALUE!</v>
      </c>
    </row>
    <row r="29" spans="2:11" ht="14.25" customHeight="1" x14ac:dyDescent="0.3">
      <c r="B29" s="104"/>
      <c r="C29" s="15" t="s">
        <v>69</v>
      </c>
      <c r="D29" s="13" t="str">
        <f>+IFERROR(VLOOKUP(C29,Prodfinales,2,FALSE),"")</f>
        <v/>
      </c>
      <c r="E29" s="15">
        <v>3</v>
      </c>
      <c r="F29" s="13" t="str">
        <f t="shared" si="6"/>
        <v/>
      </c>
      <c r="G29" s="104"/>
      <c r="H29" s="104"/>
      <c r="I29" s="104"/>
      <c r="J29" s="104"/>
      <c r="K29" s="104"/>
    </row>
    <row r="30" spans="2:11" ht="14.25" customHeight="1" x14ac:dyDescent="0.3">
      <c r="B30" s="104"/>
      <c r="C30" s="28" t="s">
        <v>68</v>
      </c>
      <c r="D30" s="29" t="str">
        <f>+IFERROR(VLOOKUP(C30,Prodfinales,2,FALSE),"")</f>
        <v/>
      </c>
      <c r="E30" s="28">
        <v>3</v>
      </c>
      <c r="F30" s="29" t="str">
        <f t="shared" si="6"/>
        <v/>
      </c>
      <c r="G30" s="104"/>
      <c r="H30" s="104"/>
      <c r="I30" s="104"/>
      <c r="J30" s="104"/>
      <c r="K30" s="104"/>
    </row>
    <row r="31" spans="2:11" ht="14.25" customHeight="1" x14ac:dyDescent="0.3">
      <c r="B31" s="105"/>
      <c r="C31" s="15" t="s">
        <v>70</v>
      </c>
      <c r="D31" s="13" t="str">
        <f>+IFERROR(VLOOKUP(C31,Prodfinales,2,FALSE),"")</f>
        <v/>
      </c>
      <c r="E31" s="15">
        <v>3</v>
      </c>
      <c r="F31" s="13" t="str">
        <f t="shared" si="6"/>
        <v/>
      </c>
      <c r="G31" s="105"/>
      <c r="H31" s="105"/>
      <c r="I31" s="105"/>
      <c r="J31" s="105"/>
      <c r="K31" s="105"/>
    </row>
    <row r="32" spans="2:11" ht="14.25" customHeight="1" x14ac:dyDescent="0.3">
      <c r="B32" s="25" t="s">
        <v>73</v>
      </c>
      <c r="C32" s="25" t="s">
        <v>89</v>
      </c>
      <c r="D32" s="26" t="s">
        <v>90</v>
      </c>
      <c r="E32" s="25" t="s">
        <v>75</v>
      </c>
      <c r="F32" s="26" t="s">
        <v>91</v>
      </c>
      <c r="G32" s="26" t="s">
        <v>92</v>
      </c>
      <c r="H32" s="26" t="s">
        <v>76</v>
      </c>
      <c r="I32" s="26" t="s">
        <v>96</v>
      </c>
      <c r="J32" s="26" t="s">
        <v>94</v>
      </c>
      <c r="K32" s="27" t="s">
        <v>95</v>
      </c>
    </row>
    <row r="33" spans="2:11" ht="14.25" customHeight="1" x14ac:dyDescent="0.3">
      <c r="B33" s="113" t="s">
        <v>81</v>
      </c>
      <c r="C33" s="28" t="s">
        <v>66</v>
      </c>
      <c r="D33" s="29" t="str">
        <f>+IFERROR(VLOOKUP(C33,Prodfinales,2,FALSE),"")</f>
        <v/>
      </c>
      <c r="E33" s="28">
        <v>2</v>
      </c>
      <c r="F33" s="29" t="str">
        <f t="shared" ref="F33:F35" si="7">+IFERROR(D33*E33,"")</f>
        <v/>
      </c>
      <c r="G33" s="111" t="str">
        <f>+IFERROR(VLOOKUP(B33,Pack,6,FALSE),"")</f>
        <v/>
      </c>
      <c r="H33" s="111" t="str">
        <f>+IFERROR(SUM(F33:F35)+G33,"")</f>
        <v/>
      </c>
      <c r="I33" s="111">
        <v>4500</v>
      </c>
      <c r="J33" s="111" t="e">
        <f>+I33-H33</f>
        <v>#VALUE!</v>
      </c>
      <c r="K33" s="112" t="e">
        <f>(J33/I33)</f>
        <v>#VALUE!</v>
      </c>
    </row>
    <row r="34" spans="2:11" ht="14.25" customHeight="1" x14ac:dyDescent="0.3">
      <c r="B34" s="104"/>
      <c r="C34" s="15" t="s">
        <v>70</v>
      </c>
      <c r="D34" s="13" t="str">
        <f>+IFERROR(VLOOKUP(C34,Prodfinales,2,FALSE),"")</f>
        <v/>
      </c>
      <c r="E34" s="15">
        <v>2</v>
      </c>
      <c r="F34" s="13" t="str">
        <f t="shared" si="7"/>
        <v/>
      </c>
      <c r="G34" s="104"/>
      <c r="H34" s="104"/>
      <c r="I34" s="104"/>
      <c r="J34" s="104"/>
      <c r="K34" s="104"/>
    </row>
    <row r="35" spans="2:11" ht="14.25" customHeight="1" x14ac:dyDescent="0.3">
      <c r="B35" s="105"/>
      <c r="C35" s="28" t="s">
        <v>68</v>
      </c>
      <c r="D35" s="29" t="str">
        <f>+IFERROR(VLOOKUP(C35,Prodfinales,2,FALSE),"")</f>
        <v/>
      </c>
      <c r="E35" s="28">
        <v>2</v>
      </c>
      <c r="F35" s="29" t="str">
        <f t="shared" si="7"/>
        <v/>
      </c>
      <c r="G35" s="105"/>
      <c r="H35" s="105"/>
      <c r="I35" s="105"/>
      <c r="J35" s="105"/>
      <c r="K35" s="105"/>
    </row>
    <row r="36" spans="2:11" ht="14.25" customHeight="1" x14ac:dyDescent="0.3">
      <c r="B36" s="25" t="s">
        <v>73</v>
      </c>
      <c r="C36" s="25" t="s">
        <v>89</v>
      </c>
      <c r="D36" s="26" t="s">
        <v>90</v>
      </c>
      <c r="E36" s="25" t="s">
        <v>75</v>
      </c>
      <c r="F36" s="26" t="s">
        <v>91</v>
      </c>
      <c r="G36" s="26" t="s">
        <v>92</v>
      </c>
      <c r="H36" s="26" t="s">
        <v>76</v>
      </c>
      <c r="I36" s="26" t="s">
        <v>96</v>
      </c>
      <c r="J36" s="26" t="s">
        <v>94</v>
      </c>
      <c r="K36" s="27" t="s">
        <v>95</v>
      </c>
    </row>
    <row r="37" spans="2:11" ht="14.25" customHeight="1" x14ac:dyDescent="0.3">
      <c r="B37" s="30" t="s">
        <v>86</v>
      </c>
      <c r="C37" s="28" t="s">
        <v>65</v>
      </c>
      <c r="D37" s="29" t="str">
        <f>+IFERROR(VLOOKUP(C37,Prodfinales,2,FALSE),"")</f>
        <v/>
      </c>
      <c r="E37" s="28">
        <v>1</v>
      </c>
      <c r="F37" s="29" t="str">
        <f>+IFERROR(D37*E37,"")</f>
        <v/>
      </c>
      <c r="G37" s="31" t="str">
        <f>+IFERROR(VLOOKUP(B37,Pack,6,FALSE),"")</f>
        <v/>
      </c>
      <c r="H37" s="31" t="str">
        <f>+IFERROR(SUM(F37)+G37,"")</f>
        <v/>
      </c>
      <c r="I37" s="31">
        <v>3500</v>
      </c>
      <c r="J37" s="31" t="e">
        <f>+I37-H37</f>
        <v>#VALUE!</v>
      </c>
      <c r="K37" s="32" t="e">
        <f>(J37/I37)</f>
        <v>#VALUE!</v>
      </c>
    </row>
    <row r="38" spans="2:11" ht="14.25" customHeight="1" x14ac:dyDescent="0.3">
      <c r="B38" s="25" t="s">
        <v>73</v>
      </c>
      <c r="C38" s="25" t="s">
        <v>89</v>
      </c>
      <c r="D38" s="26" t="s">
        <v>90</v>
      </c>
      <c r="E38" s="25" t="s">
        <v>75</v>
      </c>
      <c r="F38" s="26" t="s">
        <v>91</v>
      </c>
      <c r="G38" s="26" t="s">
        <v>92</v>
      </c>
      <c r="H38" s="26" t="s">
        <v>76</v>
      </c>
      <c r="I38" s="26" t="s">
        <v>96</v>
      </c>
      <c r="J38" s="26" t="s">
        <v>94</v>
      </c>
      <c r="K38" s="27" t="s">
        <v>95</v>
      </c>
    </row>
    <row r="39" spans="2:11" ht="14.25" customHeight="1" x14ac:dyDescent="0.3">
      <c r="B39" s="30" t="s">
        <v>86</v>
      </c>
      <c r="C39" s="28" t="s">
        <v>64</v>
      </c>
      <c r="D39" s="29" t="str">
        <f>+IFERROR(VLOOKUP(C39,Prodfinales,2,FALSE),"")</f>
        <v/>
      </c>
      <c r="E39" s="28">
        <v>1</v>
      </c>
      <c r="F39" s="29" t="str">
        <f>+IFERROR(D39*E39,"")</f>
        <v/>
      </c>
      <c r="G39" s="31" t="str">
        <f>+IFERROR(VLOOKUP(B39,Pack,6,FALSE),"")</f>
        <v/>
      </c>
      <c r="H39" s="31" t="str">
        <f>+IFERROR(SUM(F39)+G39,"")</f>
        <v/>
      </c>
      <c r="I39" s="31">
        <v>3500</v>
      </c>
      <c r="J39" s="31" t="e">
        <f>+I39-H39</f>
        <v>#VALUE!</v>
      </c>
      <c r="K39" s="32" t="e">
        <f>(J39/I39)</f>
        <v>#VALUE!</v>
      </c>
    </row>
    <row r="40" spans="2:11" ht="14.25" customHeight="1" x14ac:dyDescent="0.3">
      <c r="B40" s="25" t="s">
        <v>73</v>
      </c>
      <c r="C40" s="25" t="s">
        <v>89</v>
      </c>
      <c r="D40" s="26" t="s">
        <v>90</v>
      </c>
      <c r="E40" s="25" t="s">
        <v>75</v>
      </c>
      <c r="F40" s="26" t="s">
        <v>91</v>
      </c>
      <c r="G40" s="26" t="s">
        <v>92</v>
      </c>
      <c r="H40" s="26" t="s">
        <v>76</v>
      </c>
      <c r="I40" s="26" t="s">
        <v>96</v>
      </c>
      <c r="J40" s="26" t="s">
        <v>94</v>
      </c>
      <c r="K40" s="27" t="s">
        <v>95</v>
      </c>
    </row>
    <row r="41" spans="2:11" ht="14.25" customHeight="1" x14ac:dyDescent="0.3">
      <c r="B41" s="30" t="s">
        <v>86</v>
      </c>
      <c r="C41" s="28" t="s">
        <v>63</v>
      </c>
      <c r="D41" s="29" t="str">
        <f>+IFERROR(VLOOKUP(C41,Prodfinales,2,FALSE),"")</f>
        <v/>
      </c>
      <c r="E41" s="28">
        <v>1</v>
      </c>
      <c r="F41" s="29" t="str">
        <f>+IFERROR(D41*E41,"")</f>
        <v/>
      </c>
      <c r="G41" s="31" t="str">
        <f>+IFERROR(VLOOKUP(B41,Pack,6,FALSE),"")</f>
        <v/>
      </c>
      <c r="H41" s="31" t="str">
        <f>+IFERROR(SUM(F41)+G41,"")</f>
        <v/>
      </c>
      <c r="I41" s="31">
        <v>3500</v>
      </c>
      <c r="J41" s="31" t="e">
        <f>+I41-H41</f>
        <v>#VALUE!</v>
      </c>
      <c r="K41" s="32" t="e">
        <f>(J41/I41)</f>
        <v>#VALUE!</v>
      </c>
    </row>
    <row r="42" spans="2:11" ht="14.25" customHeight="1" x14ac:dyDescent="0.3">
      <c r="B42" s="25" t="s">
        <v>73</v>
      </c>
      <c r="C42" s="25" t="s">
        <v>89</v>
      </c>
      <c r="D42" s="26" t="s">
        <v>90</v>
      </c>
      <c r="E42" s="25" t="s">
        <v>75</v>
      </c>
      <c r="F42" s="26" t="s">
        <v>91</v>
      </c>
      <c r="G42" s="26" t="s">
        <v>92</v>
      </c>
      <c r="H42" s="26" t="s">
        <v>76</v>
      </c>
      <c r="I42" s="26" t="s">
        <v>96</v>
      </c>
      <c r="J42" s="26" t="s">
        <v>94</v>
      </c>
      <c r="K42" s="27" t="s">
        <v>95</v>
      </c>
    </row>
    <row r="43" spans="2:11" ht="14.25" customHeight="1" x14ac:dyDescent="0.3">
      <c r="B43" s="30" t="s">
        <v>86</v>
      </c>
      <c r="C43" s="28" t="s">
        <v>61</v>
      </c>
      <c r="D43" s="29" t="str">
        <f>+IFERROR(VLOOKUP(C43,Prodfinales,2,FALSE),"")</f>
        <v/>
      </c>
      <c r="E43" s="28">
        <v>1</v>
      </c>
      <c r="F43" s="29" t="str">
        <f>+IFERROR(D43*E43,"")</f>
        <v/>
      </c>
      <c r="G43" s="31" t="str">
        <f>+IFERROR(VLOOKUP(B43,Pack,6,FALSE),"")</f>
        <v/>
      </c>
      <c r="H43" s="31" t="str">
        <f>+IFERROR(SUM(F43)+G43,"")</f>
        <v/>
      </c>
      <c r="I43" s="31">
        <v>3500</v>
      </c>
      <c r="J43" s="31" t="e">
        <f>+I43-H43</f>
        <v>#VALUE!</v>
      </c>
      <c r="K43" s="32" t="e">
        <f>(J43/I43)</f>
        <v>#VALUE!</v>
      </c>
    </row>
    <row r="44" spans="2:11" ht="14.25" customHeight="1" x14ac:dyDescent="0.3">
      <c r="B44" s="25" t="s">
        <v>73</v>
      </c>
      <c r="C44" s="25" t="s">
        <v>89</v>
      </c>
      <c r="D44" s="26" t="s">
        <v>90</v>
      </c>
      <c r="E44" s="25" t="s">
        <v>75</v>
      </c>
      <c r="F44" s="26" t="s">
        <v>91</v>
      </c>
      <c r="G44" s="26" t="s">
        <v>92</v>
      </c>
      <c r="H44" s="26" t="s">
        <v>76</v>
      </c>
      <c r="I44" s="26" t="s">
        <v>96</v>
      </c>
      <c r="J44" s="26" t="s">
        <v>94</v>
      </c>
      <c r="K44" s="27" t="s">
        <v>95</v>
      </c>
    </row>
    <row r="45" spans="2:11" ht="14.25" customHeight="1" x14ac:dyDescent="0.3">
      <c r="B45" s="30" t="s">
        <v>86</v>
      </c>
      <c r="C45" s="28" t="s">
        <v>72</v>
      </c>
      <c r="D45" s="29" t="str">
        <f>+IFERROR(VLOOKUP(C45,Prodfinales,2,FALSE),"")</f>
        <v/>
      </c>
      <c r="E45" s="28">
        <v>1</v>
      </c>
      <c r="F45" s="29" t="str">
        <f>+IFERROR(D45*E45,"")</f>
        <v/>
      </c>
      <c r="G45" s="31" t="str">
        <f>+IFERROR(VLOOKUP(B45,Pack,6,FALSE),"")</f>
        <v/>
      </c>
      <c r="H45" s="31" t="str">
        <f>+IFERROR(SUM(F45)+G45,"")</f>
        <v/>
      </c>
      <c r="I45" s="31">
        <v>3500</v>
      </c>
      <c r="J45" s="31" t="e">
        <f>+I45-H45</f>
        <v>#VALUE!</v>
      </c>
      <c r="K45" s="32" t="e">
        <f>(J45/I45)</f>
        <v>#VALUE!</v>
      </c>
    </row>
    <row r="46" spans="2:11" ht="14.25" customHeight="1" x14ac:dyDescent="0.3">
      <c r="B46" s="25" t="s">
        <v>73</v>
      </c>
      <c r="C46" s="25" t="s">
        <v>89</v>
      </c>
      <c r="D46" s="26" t="s">
        <v>90</v>
      </c>
      <c r="E46" s="25" t="s">
        <v>75</v>
      </c>
      <c r="F46" s="26" t="s">
        <v>91</v>
      </c>
      <c r="G46" s="26" t="s">
        <v>92</v>
      </c>
      <c r="H46" s="26" t="s">
        <v>76</v>
      </c>
      <c r="I46" s="26" t="s">
        <v>96</v>
      </c>
      <c r="J46" s="26" t="s">
        <v>94</v>
      </c>
      <c r="K46" s="27" t="s">
        <v>95</v>
      </c>
    </row>
    <row r="47" spans="2:11" ht="14.25" customHeight="1" x14ac:dyDescent="0.3">
      <c r="B47" s="30" t="s">
        <v>86</v>
      </c>
      <c r="C47" s="28" t="s">
        <v>71</v>
      </c>
      <c r="D47" s="29" t="str">
        <f>+IFERROR(VLOOKUP(C47,Prodfinales,2,FALSE),"")</f>
        <v/>
      </c>
      <c r="E47" s="28">
        <v>1</v>
      </c>
      <c r="F47" s="29" t="str">
        <f>+IFERROR(D47*E47,"")</f>
        <v/>
      </c>
      <c r="G47" s="31" t="str">
        <f>+IFERROR(VLOOKUP(B47,Pack,6,FALSE),"")</f>
        <v/>
      </c>
      <c r="H47" s="31" t="str">
        <f>+IFERROR(SUM(F47)+G47,"")</f>
        <v/>
      </c>
      <c r="I47" s="31">
        <v>3500</v>
      </c>
      <c r="J47" s="31" t="e">
        <f>+I47-H47</f>
        <v>#VALUE!</v>
      </c>
      <c r="K47" s="32" t="e">
        <f>(J47/I47)</f>
        <v>#VALUE!</v>
      </c>
    </row>
    <row r="48" spans="2:11" ht="14.25" customHeight="1" x14ac:dyDescent="0.3">
      <c r="B48" s="25" t="s">
        <v>73</v>
      </c>
      <c r="C48" s="25" t="s">
        <v>89</v>
      </c>
      <c r="D48" s="26" t="s">
        <v>90</v>
      </c>
      <c r="E48" s="25" t="s">
        <v>75</v>
      </c>
      <c r="F48" s="26" t="s">
        <v>91</v>
      </c>
      <c r="G48" s="26" t="s">
        <v>92</v>
      </c>
      <c r="H48" s="26" t="s">
        <v>76</v>
      </c>
      <c r="I48" s="26" t="s">
        <v>96</v>
      </c>
      <c r="J48" s="26" t="s">
        <v>94</v>
      </c>
      <c r="K48" s="27" t="s">
        <v>95</v>
      </c>
    </row>
    <row r="49" spans="2:11" ht="14.25" customHeight="1" x14ac:dyDescent="0.3">
      <c r="B49" s="30" t="s">
        <v>87</v>
      </c>
      <c r="C49" s="28" t="s">
        <v>68</v>
      </c>
      <c r="D49" s="29" t="str">
        <f>+IFERROR(VLOOKUP(C49,Prodfinales,2,FALSE),"")</f>
        <v/>
      </c>
      <c r="E49" s="28">
        <v>1</v>
      </c>
      <c r="F49" s="29" t="str">
        <f>+IFERROR(D49*E49,"")</f>
        <v/>
      </c>
      <c r="G49" s="31">
        <f>+IFERROR(VLOOKUP(B49,Packaging,6,FALSE),"")</f>
        <v>149.37234000000001</v>
      </c>
      <c r="H49" s="31">
        <f>+IFERROR(SUM(F49)+G49,"")</f>
        <v>149.37234000000001</v>
      </c>
      <c r="I49" s="31">
        <v>800</v>
      </c>
      <c r="J49" s="31">
        <f>+I49-H49</f>
        <v>650.62765999999999</v>
      </c>
      <c r="K49" s="32">
        <f>(J49/I49)</f>
        <v>0.81328457499999995</v>
      </c>
    </row>
    <row r="50" spans="2:11" ht="14.25" customHeight="1" x14ac:dyDescent="0.3">
      <c r="B50" s="25" t="s">
        <v>73</v>
      </c>
      <c r="C50" s="25" t="s">
        <v>89</v>
      </c>
      <c r="D50" s="26" t="s">
        <v>90</v>
      </c>
      <c r="E50" s="25" t="s">
        <v>75</v>
      </c>
      <c r="F50" s="26" t="s">
        <v>91</v>
      </c>
      <c r="G50" s="26" t="s">
        <v>92</v>
      </c>
      <c r="H50" s="26" t="s">
        <v>76</v>
      </c>
      <c r="I50" s="26" t="s">
        <v>96</v>
      </c>
      <c r="J50" s="26" t="s">
        <v>94</v>
      </c>
      <c r="K50" s="27" t="s">
        <v>95</v>
      </c>
    </row>
    <row r="51" spans="2:11" ht="14.25" customHeight="1" x14ac:dyDescent="0.3">
      <c r="B51" s="30" t="s">
        <v>88</v>
      </c>
      <c r="C51" s="28" t="s">
        <v>59</v>
      </c>
      <c r="D51" s="29" t="str">
        <f>+IFERROR(VLOOKUP(C51,Prodfinales,2,FALSE),"")</f>
        <v/>
      </c>
      <c r="E51" s="28">
        <v>1</v>
      </c>
      <c r="F51" s="29" t="str">
        <f>+IFERROR(D51*E51,"")</f>
        <v/>
      </c>
      <c r="G51" s="31">
        <f>+IFERROR(VLOOKUP(B51,Packaging,6,FALSE),"")</f>
        <v>149.37234000000001</v>
      </c>
      <c r="H51" s="31">
        <f>+IFERROR(SUM(F51)+G51,"")</f>
        <v>149.37234000000001</v>
      </c>
      <c r="I51" s="31">
        <v>2000</v>
      </c>
      <c r="J51" s="31">
        <f>+I51-H51</f>
        <v>1850.6276600000001</v>
      </c>
      <c r="K51" s="32">
        <f>(J51/I51)</f>
        <v>0.92531383</v>
      </c>
    </row>
    <row r="52" spans="2:11" ht="14.25" customHeight="1" x14ac:dyDescent="0.3">
      <c r="D52" s="2"/>
      <c r="F52" s="2"/>
      <c r="G52" s="2"/>
      <c r="H52" s="2"/>
      <c r="K52" s="24"/>
    </row>
    <row r="53" spans="2:11" ht="14.25" customHeight="1" x14ac:dyDescent="0.3">
      <c r="D53" s="2"/>
      <c r="F53" s="2"/>
      <c r="G53" s="2"/>
      <c r="H53" s="2"/>
      <c r="K53" s="24"/>
    </row>
    <row r="54" spans="2:11" ht="14.25" customHeight="1" x14ac:dyDescent="0.3">
      <c r="D54" s="2"/>
      <c r="F54" s="2"/>
      <c r="G54" s="2"/>
      <c r="H54" s="2"/>
      <c r="K54" s="24"/>
    </row>
    <row r="55" spans="2:11" ht="14.25" customHeight="1" x14ac:dyDescent="0.3">
      <c r="D55" s="2"/>
      <c r="F55" s="2"/>
      <c r="G55" s="2"/>
      <c r="H55" s="2"/>
      <c r="K55" s="24"/>
    </row>
    <row r="56" spans="2:11" ht="14.25" customHeight="1" x14ac:dyDescent="0.3">
      <c r="D56" s="2"/>
      <c r="F56" s="2"/>
      <c r="G56" s="2"/>
      <c r="H56" s="2"/>
      <c r="K56" s="24"/>
    </row>
    <row r="57" spans="2:11" ht="14.25" customHeight="1" x14ac:dyDescent="0.3">
      <c r="D57" s="2"/>
      <c r="F57" s="2"/>
      <c r="G57" s="2"/>
      <c r="H57" s="2"/>
      <c r="K57" s="24"/>
    </row>
    <row r="58" spans="2:11" ht="14.25" customHeight="1" x14ac:dyDescent="0.3">
      <c r="D58" s="2"/>
      <c r="F58" s="2"/>
      <c r="G58" s="2"/>
      <c r="H58" s="2"/>
      <c r="K58" s="24"/>
    </row>
    <row r="59" spans="2:11" ht="14.25" customHeight="1" x14ac:dyDescent="0.3">
      <c r="D59" s="2"/>
      <c r="F59" s="2"/>
      <c r="G59" s="2"/>
      <c r="H59" s="2"/>
      <c r="K59" s="24"/>
    </row>
    <row r="60" spans="2:11" ht="14.25" customHeight="1" x14ac:dyDescent="0.3">
      <c r="D60" s="2"/>
      <c r="F60" s="2"/>
      <c r="G60" s="2"/>
      <c r="H60" s="2"/>
      <c r="K60" s="24"/>
    </row>
    <row r="61" spans="2:11" ht="14.25" customHeight="1" x14ac:dyDescent="0.3">
      <c r="D61" s="2"/>
      <c r="F61" s="2"/>
      <c r="G61" s="2"/>
      <c r="H61" s="2"/>
      <c r="K61" s="24"/>
    </row>
    <row r="62" spans="2:11" ht="14.25" customHeight="1" x14ac:dyDescent="0.3">
      <c r="D62" s="2"/>
      <c r="F62" s="2"/>
      <c r="G62" s="2"/>
      <c r="H62" s="2"/>
      <c r="K62" s="24"/>
    </row>
    <row r="63" spans="2:11" ht="14.25" customHeight="1" x14ac:dyDescent="0.3">
      <c r="D63" s="2"/>
      <c r="F63" s="2"/>
      <c r="G63" s="2"/>
      <c r="H63" s="2"/>
      <c r="K63" s="24"/>
    </row>
    <row r="64" spans="2:11" ht="14.25" customHeight="1" x14ac:dyDescent="0.3">
      <c r="D64" s="2"/>
      <c r="F64" s="2"/>
      <c r="G64" s="2"/>
      <c r="H64" s="2"/>
      <c r="K64" s="24"/>
    </row>
    <row r="65" spans="4:11" ht="14.25" customHeight="1" x14ac:dyDescent="0.3">
      <c r="D65" s="2"/>
      <c r="F65" s="2"/>
      <c r="G65" s="2"/>
      <c r="H65" s="2"/>
      <c r="K65" s="24"/>
    </row>
    <row r="66" spans="4:11" ht="14.25" customHeight="1" x14ac:dyDescent="0.3">
      <c r="D66" s="2"/>
      <c r="F66" s="2"/>
      <c r="G66" s="2"/>
      <c r="H66" s="2"/>
      <c r="K66" s="24"/>
    </row>
    <row r="67" spans="4:11" ht="14.25" customHeight="1" x14ac:dyDescent="0.3">
      <c r="D67" s="2"/>
      <c r="F67" s="2"/>
      <c r="G67" s="2"/>
      <c r="H67" s="2"/>
      <c r="K67" s="24"/>
    </row>
    <row r="68" spans="4:11" ht="14.25" customHeight="1" x14ac:dyDescent="0.3">
      <c r="D68" s="2"/>
      <c r="F68" s="2"/>
      <c r="G68" s="2"/>
      <c r="H68" s="2"/>
      <c r="K68" s="24"/>
    </row>
    <row r="69" spans="4:11" ht="14.25" customHeight="1" x14ac:dyDescent="0.3">
      <c r="D69" s="2"/>
      <c r="F69" s="2"/>
      <c r="G69" s="2"/>
      <c r="H69" s="2"/>
      <c r="K69" s="24"/>
    </row>
    <row r="70" spans="4:11" ht="14.25" customHeight="1" x14ac:dyDescent="0.3">
      <c r="D70" s="2"/>
      <c r="F70" s="2"/>
      <c r="G70" s="2"/>
      <c r="H70" s="2"/>
      <c r="K70" s="24"/>
    </row>
    <row r="71" spans="4:11" ht="14.25" customHeight="1" x14ac:dyDescent="0.3">
      <c r="D71" s="2"/>
      <c r="F71" s="2"/>
      <c r="G71" s="2"/>
      <c r="H71" s="2"/>
      <c r="K71" s="24"/>
    </row>
    <row r="72" spans="4:11" ht="14.25" customHeight="1" x14ac:dyDescent="0.3">
      <c r="D72" s="2"/>
      <c r="F72" s="2"/>
      <c r="G72" s="2"/>
      <c r="H72" s="2"/>
      <c r="K72" s="24"/>
    </row>
    <row r="73" spans="4:11" ht="14.25" customHeight="1" x14ac:dyDescent="0.3">
      <c r="D73" s="2"/>
      <c r="F73" s="2"/>
      <c r="G73" s="2"/>
      <c r="H73" s="2"/>
      <c r="K73" s="24"/>
    </row>
    <row r="74" spans="4:11" ht="14.25" customHeight="1" x14ac:dyDescent="0.3">
      <c r="D74" s="2"/>
      <c r="F74" s="2"/>
      <c r="G74" s="2"/>
      <c r="H74" s="2"/>
      <c r="K74" s="24"/>
    </row>
    <row r="75" spans="4:11" ht="14.25" customHeight="1" x14ac:dyDescent="0.3">
      <c r="D75" s="2"/>
      <c r="F75" s="2"/>
      <c r="G75" s="2"/>
      <c r="H75" s="2"/>
      <c r="K75" s="24"/>
    </row>
    <row r="76" spans="4:11" ht="14.25" customHeight="1" x14ac:dyDescent="0.3">
      <c r="D76" s="2"/>
      <c r="F76" s="2"/>
      <c r="G76" s="2"/>
      <c r="H76" s="2"/>
      <c r="K76" s="24"/>
    </row>
    <row r="77" spans="4:11" ht="14.25" customHeight="1" x14ac:dyDescent="0.3">
      <c r="D77" s="2"/>
      <c r="F77" s="2"/>
      <c r="G77" s="2"/>
      <c r="H77" s="2"/>
      <c r="K77" s="24"/>
    </row>
    <row r="78" spans="4:11" ht="14.25" customHeight="1" x14ac:dyDescent="0.3">
      <c r="D78" s="2"/>
      <c r="F78" s="2"/>
      <c r="G78" s="2"/>
      <c r="H78" s="2"/>
      <c r="K78" s="24"/>
    </row>
    <row r="79" spans="4:11" ht="14.25" customHeight="1" x14ac:dyDescent="0.3">
      <c r="D79" s="2"/>
      <c r="F79" s="2"/>
      <c r="G79" s="2"/>
      <c r="H79" s="2"/>
      <c r="K79" s="24"/>
    </row>
    <row r="80" spans="4:11" ht="14.25" customHeight="1" x14ac:dyDescent="0.3">
      <c r="D80" s="2"/>
      <c r="F80" s="2"/>
      <c r="G80" s="2"/>
      <c r="H80" s="2"/>
      <c r="K80" s="24"/>
    </row>
    <row r="81" spans="4:11" ht="14.25" customHeight="1" x14ac:dyDescent="0.3">
      <c r="D81" s="2"/>
      <c r="F81" s="2"/>
      <c r="G81" s="2"/>
      <c r="H81" s="2"/>
      <c r="K81" s="24"/>
    </row>
    <row r="82" spans="4:11" ht="14.25" customHeight="1" x14ac:dyDescent="0.3">
      <c r="D82" s="2"/>
      <c r="F82" s="2"/>
      <c r="G82" s="2"/>
      <c r="H82" s="2"/>
      <c r="K82" s="24"/>
    </row>
    <row r="83" spans="4:11" ht="14.25" customHeight="1" x14ac:dyDescent="0.3">
      <c r="D83" s="2"/>
      <c r="F83" s="2"/>
      <c r="G83" s="2"/>
      <c r="H83" s="2"/>
      <c r="K83" s="24"/>
    </row>
    <row r="84" spans="4:11" ht="14.25" customHeight="1" x14ac:dyDescent="0.3">
      <c r="D84" s="2"/>
      <c r="F84" s="2"/>
      <c r="G84" s="2"/>
      <c r="H84" s="2"/>
      <c r="K84" s="24"/>
    </row>
    <row r="85" spans="4:11" ht="14.25" customHeight="1" x14ac:dyDescent="0.3">
      <c r="D85" s="2"/>
      <c r="F85" s="2"/>
      <c r="G85" s="2"/>
      <c r="H85" s="2"/>
      <c r="K85" s="24"/>
    </row>
    <row r="86" spans="4:11" ht="14.25" customHeight="1" x14ac:dyDescent="0.3">
      <c r="D86" s="2"/>
      <c r="F86" s="2"/>
      <c r="G86" s="2"/>
      <c r="H86" s="2"/>
      <c r="K86" s="24"/>
    </row>
    <row r="87" spans="4:11" ht="14.25" customHeight="1" x14ac:dyDescent="0.3">
      <c r="D87" s="2"/>
      <c r="F87" s="2"/>
      <c r="G87" s="2"/>
      <c r="H87" s="2"/>
      <c r="K87" s="24"/>
    </row>
    <row r="88" spans="4:11" ht="14.25" customHeight="1" x14ac:dyDescent="0.3">
      <c r="D88" s="2"/>
      <c r="F88" s="2"/>
      <c r="G88" s="2"/>
      <c r="H88" s="2"/>
      <c r="K88" s="24"/>
    </row>
    <row r="89" spans="4:11" ht="14.25" customHeight="1" x14ac:dyDescent="0.3">
      <c r="D89" s="2"/>
      <c r="F89" s="2"/>
      <c r="G89" s="2"/>
      <c r="H89" s="2"/>
      <c r="K89" s="24"/>
    </row>
    <row r="90" spans="4:11" ht="14.25" customHeight="1" x14ac:dyDescent="0.3">
      <c r="D90" s="2"/>
      <c r="F90" s="2"/>
      <c r="G90" s="2"/>
      <c r="H90" s="2"/>
      <c r="K90" s="24"/>
    </row>
    <row r="91" spans="4:11" ht="14.25" customHeight="1" x14ac:dyDescent="0.3">
      <c r="D91" s="2"/>
      <c r="F91" s="2"/>
      <c r="G91" s="2"/>
      <c r="H91" s="2"/>
      <c r="K91" s="24"/>
    </row>
    <row r="92" spans="4:11" ht="14.25" customHeight="1" x14ac:dyDescent="0.3">
      <c r="D92" s="2"/>
      <c r="F92" s="2"/>
      <c r="G92" s="2"/>
      <c r="H92" s="2"/>
      <c r="K92" s="24"/>
    </row>
    <row r="93" spans="4:11" ht="14.25" customHeight="1" x14ac:dyDescent="0.3">
      <c r="D93" s="2"/>
      <c r="F93" s="2"/>
      <c r="G93" s="2"/>
      <c r="H93" s="2"/>
      <c r="K93" s="24"/>
    </row>
    <row r="94" spans="4:11" ht="14.25" customHeight="1" x14ac:dyDescent="0.3">
      <c r="D94" s="2"/>
      <c r="F94" s="2"/>
      <c r="G94" s="2"/>
      <c r="H94" s="2"/>
      <c r="K94" s="24"/>
    </row>
    <row r="95" spans="4:11" ht="14.25" customHeight="1" x14ac:dyDescent="0.3">
      <c r="D95" s="2"/>
      <c r="F95" s="2"/>
      <c r="G95" s="2"/>
      <c r="H95" s="2"/>
      <c r="K95" s="24"/>
    </row>
    <row r="96" spans="4:11" ht="14.25" customHeight="1" x14ac:dyDescent="0.3">
      <c r="D96" s="2"/>
      <c r="F96" s="2"/>
      <c r="G96" s="2"/>
      <c r="H96" s="2"/>
      <c r="K96" s="24"/>
    </row>
    <row r="97" spans="4:11" ht="14.25" customHeight="1" x14ac:dyDescent="0.3">
      <c r="D97" s="2"/>
      <c r="F97" s="2"/>
      <c r="G97" s="2"/>
      <c r="H97" s="2"/>
      <c r="K97" s="24"/>
    </row>
    <row r="98" spans="4:11" ht="14.25" customHeight="1" x14ac:dyDescent="0.3">
      <c r="D98" s="2"/>
      <c r="F98" s="2"/>
      <c r="G98" s="2"/>
      <c r="H98" s="2"/>
      <c r="K98" s="24"/>
    </row>
    <row r="99" spans="4:11" ht="14.25" customHeight="1" x14ac:dyDescent="0.3">
      <c r="D99" s="2"/>
      <c r="F99" s="2"/>
      <c r="G99" s="2"/>
      <c r="H99" s="2"/>
      <c r="K99" s="24"/>
    </row>
    <row r="100" spans="4:11" ht="14.25" customHeight="1" x14ac:dyDescent="0.3">
      <c r="D100" s="2"/>
      <c r="F100" s="2"/>
      <c r="G100" s="2"/>
      <c r="H100" s="2"/>
      <c r="K100" s="24"/>
    </row>
    <row r="101" spans="4:11" ht="14.25" customHeight="1" x14ac:dyDescent="0.3">
      <c r="D101" s="2"/>
      <c r="F101" s="2"/>
      <c r="G101" s="2"/>
      <c r="H101" s="2"/>
      <c r="K101" s="24"/>
    </row>
    <row r="102" spans="4:11" ht="14.25" customHeight="1" x14ac:dyDescent="0.3">
      <c r="D102" s="2"/>
      <c r="F102" s="2"/>
      <c r="G102" s="2"/>
      <c r="H102" s="2"/>
      <c r="K102" s="24"/>
    </row>
    <row r="103" spans="4:11" ht="14.25" customHeight="1" x14ac:dyDescent="0.3">
      <c r="D103" s="2"/>
      <c r="F103" s="2"/>
      <c r="G103" s="2"/>
      <c r="H103" s="2"/>
      <c r="K103" s="24"/>
    </row>
    <row r="104" spans="4:11" ht="14.25" customHeight="1" x14ac:dyDescent="0.3">
      <c r="D104" s="2"/>
      <c r="F104" s="2"/>
      <c r="G104" s="2"/>
      <c r="H104" s="2"/>
      <c r="K104" s="24"/>
    </row>
    <row r="105" spans="4:11" ht="14.25" customHeight="1" x14ac:dyDescent="0.3">
      <c r="D105" s="2"/>
      <c r="F105" s="2"/>
      <c r="G105" s="2"/>
      <c r="H105" s="2"/>
      <c r="K105" s="24"/>
    </row>
    <row r="106" spans="4:11" ht="14.25" customHeight="1" x14ac:dyDescent="0.3">
      <c r="D106" s="2"/>
      <c r="F106" s="2"/>
      <c r="G106" s="2"/>
      <c r="H106" s="2"/>
      <c r="K106" s="24"/>
    </row>
    <row r="107" spans="4:11" ht="14.25" customHeight="1" x14ac:dyDescent="0.3">
      <c r="D107" s="2"/>
      <c r="F107" s="2"/>
      <c r="G107" s="2"/>
      <c r="H107" s="2"/>
      <c r="K107" s="24"/>
    </row>
    <row r="108" spans="4:11" ht="14.25" customHeight="1" x14ac:dyDescent="0.3">
      <c r="D108" s="2"/>
      <c r="F108" s="2"/>
      <c r="G108" s="2"/>
      <c r="H108" s="2"/>
      <c r="K108" s="24"/>
    </row>
    <row r="109" spans="4:11" ht="14.25" customHeight="1" x14ac:dyDescent="0.3">
      <c r="D109" s="2"/>
      <c r="F109" s="2"/>
      <c r="G109" s="2"/>
      <c r="H109" s="2"/>
      <c r="K109" s="24"/>
    </row>
    <row r="110" spans="4:11" ht="14.25" customHeight="1" x14ac:dyDescent="0.3">
      <c r="D110" s="2"/>
      <c r="F110" s="2"/>
      <c r="G110" s="2"/>
      <c r="H110" s="2"/>
      <c r="K110" s="24"/>
    </row>
    <row r="111" spans="4:11" ht="14.25" customHeight="1" x14ac:dyDescent="0.3">
      <c r="D111" s="2"/>
      <c r="F111" s="2"/>
      <c r="G111" s="2"/>
      <c r="H111" s="2"/>
      <c r="K111" s="24"/>
    </row>
    <row r="112" spans="4:11" ht="14.25" customHeight="1" x14ac:dyDescent="0.3">
      <c r="D112" s="2"/>
      <c r="F112" s="2"/>
      <c r="G112" s="2"/>
      <c r="H112" s="2"/>
      <c r="K112" s="24"/>
    </row>
    <row r="113" spans="4:11" ht="14.25" customHeight="1" x14ac:dyDescent="0.3">
      <c r="D113" s="2"/>
      <c r="F113" s="2"/>
      <c r="G113" s="2"/>
      <c r="H113" s="2"/>
      <c r="K113" s="24"/>
    </row>
    <row r="114" spans="4:11" ht="14.25" customHeight="1" x14ac:dyDescent="0.3">
      <c r="D114" s="2"/>
      <c r="F114" s="2"/>
      <c r="G114" s="2"/>
      <c r="H114" s="2"/>
      <c r="K114" s="24"/>
    </row>
    <row r="115" spans="4:11" ht="14.25" customHeight="1" x14ac:dyDescent="0.3">
      <c r="D115" s="2"/>
      <c r="F115" s="2"/>
      <c r="G115" s="2"/>
      <c r="H115" s="2"/>
      <c r="K115" s="24"/>
    </row>
    <row r="116" spans="4:11" ht="14.25" customHeight="1" x14ac:dyDescent="0.3">
      <c r="D116" s="2"/>
      <c r="F116" s="2"/>
      <c r="G116" s="2"/>
      <c r="H116" s="2"/>
      <c r="K116" s="24"/>
    </row>
    <row r="117" spans="4:11" ht="14.25" customHeight="1" x14ac:dyDescent="0.3">
      <c r="D117" s="2"/>
      <c r="F117" s="2"/>
      <c r="G117" s="2"/>
      <c r="H117" s="2"/>
      <c r="K117" s="24"/>
    </row>
    <row r="118" spans="4:11" ht="14.25" customHeight="1" x14ac:dyDescent="0.3">
      <c r="D118" s="2"/>
      <c r="F118" s="2"/>
      <c r="G118" s="2"/>
      <c r="H118" s="2"/>
      <c r="K118" s="24"/>
    </row>
    <row r="119" spans="4:11" ht="14.25" customHeight="1" x14ac:dyDescent="0.3">
      <c r="D119" s="2"/>
      <c r="F119" s="2"/>
      <c r="G119" s="2"/>
      <c r="H119" s="2"/>
      <c r="K119" s="24"/>
    </row>
    <row r="120" spans="4:11" ht="14.25" customHeight="1" x14ac:dyDescent="0.3">
      <c r="D120" s="2"/>
      <c r="F120" s="2"/>
      <c r="G120" s="2"/>
      <c r="H120" s="2"/>
      <c r="K120" s="24"/>
    </row>
    <row r="121" spans="4:11" ht="14.25" customHeight="1" x14ac:dyDescent="0.3">
      <c r="D121" s="2"/>
      <c r="F121" s="2"/>
      <c r="G121" s="2"/>
      <c r="H121" s="2"/>
      <c r="K121" s="24"/>
    </row>
    <row r="122" spans="4:11" ht="14.25" customHeight="1" x14ac:dyDescent="0.3">
      <c r="D122" s="2"/>
      <c r="F122" s="2"/>
      <c r="G122" s="2"/>
      <c r="H122" s="2"/>
      <c r="K122" s="24"/>
    </row>
    <row r="123" spans="4:11" ht="14.25" customHeight="1" x14ac:dyDescent="0.3">
      <c r="D123" s="2"/>
      <c r="F123" s="2"/>
      <c r="G123" s="2"/>
      <c r="H123" s="2"/>
      <c r="K123" s="24"/>
    </row>
    <row r="124" spans="4:11" ht="14.25" customHeight="1" x14ac:dyDescent="0.3">
      <c r="D124" s="2"/>
      <c r="F124" s="2"/>
      <c r="G124" s="2"/>
      <c r="H124" s="2"/>
      <c r="K124" s="24"/>
    </row>
    <row r="125" spans="4:11" ht="14.25" customHeight="1" x14ac:dyDescent="0.3">
      <c r="D125" s="2"/>
      <c r="F125" s="2"/>
      <c r="G125" s="2"/>
      <c r="H125" s="2"/>
      <c r="K125" s="24"/>
    </row>
    <row r="126" spans="4:11" ht="14.25" customHeight="1" x14ac:dyDescent="0.3">
      <c r="D126" s="2"/>
      <c r="F126" s="2"/>
      <c r="G126" s="2"/>
      <c r="H126" s="2"/>
      <c r="K126" s="24"/>
    </row>
    <row r="127" spans="4:11" ht="14.25" customHeight="1" x14ac:dyDescent="0.3">
      <c r="D127" s="2"/>
      <c r="F127" s="2"/>
      <c r="G127" s="2"/>
      <c r="H127" s="2"/>
      <c r="K127" s="24"/>
    </row>
    <row r="128" spans="4:11" ht="14.25" customHeight="1" x14ac:dyDescent="0.3">
      <c r="D128" s="2"/>
      <c r="F128" s="2"/>
      <c r="G128" s="2"/>
      <c r="H128" s="2"/>
      <c r="K128" s="24"/>
    </row>
    <row r="129" spans="4:11" ht="14.25" customHeight="1" x14ac:dyDescent="0.3">
      <c r="D129" s="2"/>
      <c r="F129" s="2"/>
      <c r="G129" s="2"/>
      <c r="H129" s="2"/>
      <c r="K129" s="24"/>
    </row>
    <row r="130" spans="4:11" ht="14.25" customHeight="1" x14ac:dyDescent="0.3">
      <c r="D130" s="2"/>
      <c r="F130" s="2"/>
      <c r="G130" s="2"/>
      <c r="H130" s="2"/>
      <c r="K130" s="24"/>
    </row>
    <row r="131" spans="4:11" ht="14.25" customHeight="1" x14ac:dyDescent="0.3">
      <c r="D131" s="2"/>
      <c r="F131" s="2"/>
      <c r="G131" s="2"/>
      <c r="H131" s="2"/>
      <c r="K131" s="24"/>
    </row>
    <row r="132" spans="4:11" ht="14.25" customHeight="1" x14ac:dyDescent="0.3">
      <c r="D132" s="2"/>
      <c r="F132" s="2"/>
      <c r="G132" s="2"/>
      <c r="H132" s="2"/>
      <c r="K132" s="24"/>
    </row>
    <row r="133" spans="4:11" ht="14.25" customHeight="1" x14ac:dyDescent="0.3">
      <c r="D133" s="2"/>
      <c r="F133" s="2"/>
      <c r="G133" s="2"/>
      <c r="H133" s="2"/>
      <c r="K133" s="24"/>
    </row>
    <row r="134" spans="4:11" ht="14.25" customHeight="1" x14ac:dyDescent="0.3">
      <c r="D134" s="2"/>
      <c r="F134" s="2"/>
      <c r="G134" s="2"/>
      <c r="H134" s="2"/>
      <c r="K134" s="24"/>
    </row>
    <row r="135" spans="4:11" ht="14.25" customHeight="1" x14ac:dyDescent="0.3">
      <c r="D135" s="2"/>
      <c r="F135" s="2"/>
      <c r="G135" s="2"/>
      <c r="H135" s="2"/>
      <c r="K135" s="24"/>
    </row>
    <row r="136" spans="4:11" ht="14.25" customHeight="1" x14ac:dyDescent="0.3">
      <c r="D136" s="2"/>
      <c r="F136" s="2"/>
      <c r="G136" s="2"/>
      <c r="H136" s="2"/>
      <c r="K136" s="24"/>
    </row>
    <row r="137" spans="4:11" ht="14.25" customHeight="1" x14ac:dyDescent="0.3">
      <c r="D137" s="2"/>
      <c r="F137" s="2"/>
      <c r="G137" s="2"/>
      <c r="H137" s="2"/>
      <c r="K137" s="24"/>
    </row>
    <row r="138" spans="4:11" ht="14.25" customHeight="1" x14ac:dyDescent="0.3">
      <c r="D138" s="2"/>
      <c r="F138" s="2"/>
      <c r="G138" s="2"/>
      <c r="H138" s="2"/>
      <c r="K138" s="24"/>
    </row>
    <row r="139" spans="4:11" ht="14.25" customHeight="1" x14ac:dyDescent="0.3">
      <c r="D139" s="2"/>
      <c r="F139" s="2"/>
      <c r="G139" s="2"/>
      <c r="H139" s="2"/>
      <c r="K139" s="24"/>
    </row>
    <row r="140" spans="4:11" ht="14.25" customHeight="1" x14ac:dyDescent="0.3">
      <c r="D140" s="2"/>
      <c r="F140" s="2"/>
      <c r="G140" s="2"/>
      <c r="H140" s="2"/>
      <c r="K140" s="24"/>
    </row>
    <row r="141" spans="4:11" ht="14.25" customHeight="1" x14ac:dyDescent="0.3">
      <c r="D141" s="2"/>
      <c r="F141" s="2"/>
      <c r="G141" s="2"/>
      <c r="H141" s="2"/>
      <c r="K141" s="24"/>
    </row>
    <row r="142" spans="4:11" ht="14.25" customHeight="1" x14ac:dyDescent="0.3">
      <c r="D142" s="2"/>
      <c r="F142" s="2"/>
      <c r="G142" s="2"/>
      <c r="H142" s="2"/>
      <c r="K142" s="24"/>
    </row>
    <row r="143" spans="4:11" ht="14.25" customHeight="1" x14ac:dyDescent="0.3">
      <c r="D143" s="2"/>
      <c r="F143" s="2"/>
      <c r="G143" s="2"/>
      <c r="H143" s="2"/>
      <c r="K143" s="24"/>
    </row>
    <row r="144" spans="4:11" ht="14.25" customHeight="1" x14ac:dyDescent="0.3">
      <c r="D144" s="2"/>
      <c r="F144" s="2"/>
      <c r="G144" s="2"/>
      <c r="H144" s="2"/>
      <c r="K144" s="24"/>
    </row>
    <row r="145" spans="4:11" ht="14.25" customHeight="1" x14ac:dyDescent="0.3">
      <c r="D145" s="2"/>
      <c r="F145" s="2"/>
      <c r="G145" s="2"/>
      <c r="H145" s="2"/>
      <c r="K145" s="24"/>
    </row>
    <row r="146" spans="4:11" ht="14.25" customHeight="1" x14ac:dyDescent="0.3">
      <c r="D146" s="2"/>
      <c r="F146" s="2"/>
      <c r="G146" s="2"/>
      <c r="H146" s="2"/>
      <c r="K146" s="24"/>
    </row>
    <row r="147" spans="4:11" ht="14.25" customHeight="1" x14ac:dyDescent="0.3">
      <c r="D147" s="2"/>
      <c r="F147" s="2"/>
      <c r="G147" s="2"/>
      <c r="H147" s="2"/>
      <c r="K147" s="24"/>
    </row>
    <row r="148" spans="4:11" ht="14.25" customHeight="1" x14ac:dyDescent="0.3">
      <c r="D148" s="2"/>
      <c r="F148" s="2"/>
      <c r="G148" s="2"/>
      <c r="H148" s="2"/>
      <c r="K148" s="24"/>
    </row>
    <row r="149" spans="4:11" ht="14.25" customHeight="1" x14ac:dyDescent="0.3">
      <c r="D149" s="2"/>
      <c r="F149" s="2"/>
      <c r="G149" s="2"/>
      <c r="H149" s="2"/>
      <c r="K149" s="24"/>
    </row>
    <row r="150" spans="4:11" ht="14.25" customHeight="1" x14ac:dyDescent="0.3">
      <c r="D150" s="2"/>
      <c r="F150" s="2"/>
      <c r="G150" s="2"/>
      <c r="H150" s="2"/>
      <c r="K150" s="24"/>
    </row>
    <row r="151" spans="4:11" ht="14.25" customHeight="1" x14ac:dyDescent="0.3">
      <c r="D151" s="2"/>
      <c r="F151" s="2"/>
      <c r="G151" s="2"/>
      <c r="H151" s="2"/>
      <c r="K151" s="24"/>
    </row>
    <row r="152" spans="4:11" ht="14.25" customHeight="1" x14ac:dyDescent="0.3">
      <c r="D152" s="2"/>
      <c r="F152" s="2"/>
      <c r="G152" s="2"/>
      <c r="H152" s="2"/>
      <c r="K152" s="24"/>
    </row>
    <row r="153" spans="4:11" ht="14.25" customHeight="1" x14ac:dyDescent="0.3">
      <c r="D153" s="2"/>
      <c r="F153" s="2"/>
      <c r="G153" s="2"/>
      <c r="H153" s="2"/>
      <c r="K153" s="24"/>
    </row>
    <row r="154" spans="4:11" ht="14.25" customHeight="1" x14ac:dyDescent="0.3">
      <c r="D154" s="2"/>
      <c r="F154" s="2"/>
      <c r="G154" s="2"/>
      <c r="H154" s="2"/>
      <c r="K154" s="24"/>
    </row>
    <row r="155" spans="4:11" ht="14.25" customHeight="1" x14ac:dyDescent="0.3">
      <c r="D155" s="2"/>
      <c r="F155" s="2"/>
      <c r="G155" s="2"/>
      <c r="H155" s="2"/>
      <c r="K155" s="24"/>
    </row>
    <row r="156" spans="4:11" ht="14.25" customHeight="1" x14ac:dyDescent="0.3">
      <c r="D156" s="2"/>
      <c r="F156" s="2"/>
      <c r="G156" s="2"/>
      <c r="H156" s="2"/>
      <c r="K156" s="24"/>
    </row>
    <row r="157" spans="4:11" ht="14.25" customHeight="1" x14ac:dyDescent="0.3">
      <c r="D157" s="2"/>
      <c r="F157" s="2"/>
      <c r="G157" s="2"/>
      <c r="H157" s="2"/>
      <c r="K157" s="24"/>
    </row>
    <row r="158" spans="4:11" ht="14.25" customHeight="1" x14ac:dyDescent="0.3">
      <c r="D158" s="2"/>
      <c r="F158" s="2"/>
      <c r="G158" s="2"/>
      <c r="H158" s="2"/>
      <c r="K158" s="24"/>
    </row>
    <row r="159" spans="4:11" ht="14.25" customHeight="1" x14ac:dyDescent="0.3">
      <c r="D159" s="2"/>
      <c r="F159" s="2"/>
      <c r="G159" s="2"/>
      <c r="H159" s="2"/>
      <c r="K159" s="24"/>
    </row>
    <row r="160" spans="4:11" ht="14.25" customHeight="1" x14ac:dyDescent="0.3">
      <c r="D160" s="2"/>
      <c r="F160" s="2"/>
      <c r="G160" s="2"/>
      <c r="H160" s="2"/>
      <c r="K160" s="24"/>
    </row>
    <row r="161" spans="4:11" ht="14.25" customHeight="1" x14ac:dyDescent="0.3">
      <c r="D161" s="2"/>
      <c r="F161" s="2"/>
      <c r="G161" s="2"/>
      <c r="H161" s="2"/>
      <c r="K161" s="24"/>
    </row>
    <row r="162" spans="4:11" ht="14.25" customHeight="1" x14ac:dyDescent="0.3">
      <c r="D162" s="2"/>
      <c r="F162" s="2"/>
      <c r="G162" s="2"/>
      <c r="H162" s="2"/>
      <c r="K162" s="24"/>
    </row>
    <row r="163" spans="4:11" ht="14.25" customHeight="1" x14ac:dyDescent="0.3">
      <c r="D163" s="2"/>
      <c r="F163" s="2"/>
      <c r="G163" s="2"/>
      <c r="H163" s="2"/>
      <c r="K163" s="24"/>
    </row>
    <row r="164" spans="4:11" ht="14.25" customHeight="1" x14ac:dyDescent="0.3">
      <c r="D164" s="2"/>
      <c r="F164" s="2"/>
      <c r="G164" s="2"/>
      <c r="H164" s="2"/>
      <c r="K164" s="24"/>
    </row>
    <row r="165" spans="4:11" ht="14.25" customHeight="1" x14ac:dyDescent="0.3">
      <c r="D165" s="2"/>
      <c r="F165" s="2"/>
      <c r="G165" s="2"/>
      <c r="H165" s="2"/>
      <c r="K165" s="24"/>
    </row>
    <row r="166" spans="4:11" ht="14.25" customHeight="1" x14ac:dyDescent="0.3">
      <c r="D166" s="2"/>
      <c r="F166" s="2"/>
      <c r="G166" s="2"/>
      <c r="H166" s="2"/>
      <c r="K166" s="24"/>
    </row>
    <row r="167" spans="4:11" ht="14.25" customHeight="1" x14ac:dyDescent="0.3">
      <c r="D167" s="2"/>
      <c r="F167" s="2"/>
      <c r="G167" s="2"/>
      <c r="H167" s="2"/>
      <c r="K167" s="24"/>
    </row>
    <row r="168" spans="4:11" ht="14.25" customHeight="1" x14ac:dyDescent="0.3">
      <c r="D168" s="2"/>
      <c r="F168" s="2"/>
      <c r="G168" s="2"/>
      <c r="H168" s="2"/>
      <c r="K168" s="24"/>
    </row>
    <row r="169" spans="4:11" ht="14.25" customHeight="1" x14ac:dyDescent="0.3">
      <c r="D169" s="2"/>
      <c r="F169" s="2"/>
      <c r="G169" s="2"/>
      <c r="H169" s="2"/>
      <c r="K169" s="24"/>
    </row>
    <row r="170" spans="4:11" ht="14.25" customHeight="1" x14ac:dyDescent="0.3">
      <c r="D170" s="2"/>
      <c r="F170" s="2"/>
      <c r="G170" s="2"/>
      <c r="H170" s="2"/>
      <c r="K170" s="24"/>
    </row>
    <row r="171" spans="4:11" ht="14.25" customHeight="1" x14ac:dyDescent="0.3">
      <c r="D171" s="2"/>
      <c r="F171" s="2"/>
      <c r="G171" s="2"/>
      <c r="H171" s="2"/>
      <c r="K171" s="24"/>
    </row>
    <row r="172" spans="4:11" ht="14.25" customHeight="1" x14ac:dyDescent="0.3">
      <c r="D172" s="2"/>
      <c r="F172" s="2"/>
      <c r="G172" s="2"/>
      <c r="H172" s="2"/>
      <c r="K172" s="24"/>
    </row>
    <row r="173" spans="4:11" ht="14.25" customHeight="1" x14ac:dyDescent="0.3">
      <c r="D173" s="2"/>
      <c r="F173" s="2"/>
      <c r="G173" s="2"/>
      <c r="H173" s="2"/>
      <c r="K173" s="24"/>
    </row>
    <row r="174" spans="4:11" ht="14.25" customHeight="1" x14ac:dyDescent="0.3">
      <c r="D174" s="2"/>
      <c r="F174" s="2"/>
      <c r="G174" s="2"/>
      <c r="H174" s="2"/>
      <c r="K174" s="24"/>
    </row>
    <row r="175" spans="4:11" ht="14.25" customHeight="1" x14ac:dyDescent="0.3">
      <c r="D175" s="2"/>
      <c r="F175" s="2"/>
      <c r="G175" s="2"/>
      <c r="H175" s="2"/>
      <c r="K175" s="24"/>
    </row>
    <row r="176" spans="4:11" ht="14.25" customHeight="1" x14ac:dyDescent="0.3">
      <c r="D176" s="2"/>
      <c r="F176" s="2"/>
      <c r="G176" s="2"/>
      <c r="H176" s="2"/>
      <c r="K176" s="24"/>
    </row>
    <row r="177" spans="4:11" ht="14.25" customHeight="1" x14ac:dyDescent="0.3">
      <c r="D177" s="2"/>
      <c r="F177" s="2"/>
      <c r="G177" s="2"/>
      <c r="H177" s="2"/>
      <c r="K177" s="24"/>
    </row>
    <row r="178" spans="4:11" ht="14.25" customHeight="1" x14ac:dyDescent="0.3">
      <c r="D178" s="2"/>
      <c r="F178" s="2"/>
      <c r="G178" s="2"/>
      <c r="H178" s="2"/>
      <c r="K178" s="24"/>
    </row>
    <row r="179" spans="4:11" ht="14.25" customHeight="1" x14ac:dyDescent="0.3">
      <c r="D179" s="2"/>
      <c r="F179" s="2"/>
      <c r="G179" s="2"/>
      <c r="H179" s="2"/>
      <c r="K179" s="24"/>
    </row>
    <row r="180" spans="4:11" ht="14.25" customHeight="1" x14ac:dyDescent="0.3">
      <c r="D180" s="2"/>
      <c r="F180" s="2"/>
      <c r="G180" s="2"/>
      <c r="H180" s="2"/>
      <c r="K180" s="24"/>
    </row>
    <row r="181" spans="4:11" ht="14.25" customHeight="1" x14ac:dyDescent="0.3">
      <c r="D181" s="2"/>
      <c r="F181" s="2"/>
      <c r="G181" s="2"/>
      <c r="H181" s="2"/>
      <c r="K181" s="24"/>
    </row>
    <row r="182" spans="4:11" ht="14.25" customHeight="1" x14ac:dyDescent="0.3">
      <c r="D182" s="2"/>
      <c r="F182" s="2"/>
      <c r="G182" s="2"/>
      <c r="H182" s="2"/>
      <c r="K182" s="24"/>
    </row>
    <row r="183" spans="4:11" ht="14.25" customHeight="1" x14ac:dyDescent="0.3">
      <c r="D183" s="2"/>
      <c r="F183" s="2"/>
      <c r="G183" s="2"/>
      <c r="H183" s="2"/>
      <c r="K183" s="24"/>
    </row>
    <row r="184" spans="4:11" ht="14.25" customHeight="1" x14ac:dyDescent="0.3">
      <c r="D184" s="2"/>
      <c r="F184" s="2"/>
      <c r="G184" s="2"/>
      <c r="H184" s="2"/>
      <c r="K184" s="24"/>
    </row>
    <row r="185" spans="4:11" ht="14.25" customHeight="1" x14ac:dyDescent="0.3">
      <c r="D185" s="2"/>
      <c r="F185" s="2"/>
      <c r="G185" s="2"/>
      <c r="H185" s="2"/>
      <c r="K185" s="24"/>
    </row>
    <row r="186" spans="4:11" ht="14.25" customHeight="1" x14ac:dyDescent="0.3">
      <c r="D186" s="2"/>
      <c r="F186" s="2"/>
      <c r="G186" s="2"/>
      <c r="H186" s="2"/>
      <c r="K186" s="24"/>
    </row>
    <row r="187" spans="4:11" ht="14.25" customHeight="1" x14ac:dyDescent="0.3">
      <c r="D187" s="2"/>
      <c r="F187" s="2"/>
      <c r="G187" s="2"/>
      <c r="H187" s="2"/>
      <c r="K187" s="24"/>
    </row>
    <row r="188" spans="4:11" ht="14.25" customHeight="1" x14ac:dyDescent="0.3">
      <c r="D188" s="2"/>
      <c r="F188" s="2"/>
      <c r="G188" s="2"/>
      <c r="H188" s="2"/>
      <c r="K188" s="24"/>
    </row>
    <row r="189" spans="4:11" ht="14.25" customHeight="1" x14ac:dyDescent="0.3">
      <c r="D189" s="2"/>
      <c r="F189" s="2"/>
      <c r="G189" s="2"/>
      <c r="H189" s="2"/>
      <c r="K189" s="24"/>
    </row>
    <row r="190" spans="4:11" ht="14.25" customHeight="1" x14ac:dyDescent="0.3">
      <c r="D190" s="2"/>
      <c r="F190" s="2"/>
      <c r="G190" s="2"/>
      <c r="H190" s="2"/>
      <c r="K190" s="24"/>
    </row>
    <row r="191" spans="4:11" ht="14.25" customHeight="1" x14ac:dyDescent="0.3">
      <c r="D191" s="2"/>
      <c r="F191" s="2"/>
      <c r="G191" s="2"/>
      <c r="H191" s="2"/>
      <c r="K191" s="24"/>
    </row>
    <row r="192" spans="4:11" ht="14.25" customHeight="1" x14ac:dyDescent="0.3">
      <c r="D192" s="2"/>
      <c r="F192" s="2"/>
      <c r="G192" s="2"/>
      <c r="H192" s="2"/>
      <c r="K192" s="24"/>
    </row>
    <row r="193" spans="4:11" ht="14.25" customHeight="1" x14ac:dyDescent="0.3">
      <c r="D193" s="2"/>
      <c r="F193" s="2"/>
      <c r="G193" s="2"/>
      <c r="H193" s="2"/>
      <c r="K193" s="24"/>
    </row>
    <row r="194" spans="4:11" ht="14.25" customHeight="1" x14ac:dyDescent="0.3">
      <c r="D194" s="2"/>
      <c r="F194" s="2"/>
      <c r="G194" s="2"/>
      <c r="H194" s="2"/>
      <c r="K194" s="24"/>
    </row>
    <row r="195" spans="4:11" ht="14.25" customHeight="1" x14ac:dyDescent="0.3">
      <c r="D195" s="2"/>
      <c r="F195" s="2"/>
      <c r="G195" s="2"/>
      <c r="H195" s="2"/>
      <c r="K195" s="24"/>
    </row>
    <row r="196" spans="4:11" ht="14.25" customHeight="1" x14ac:dyDescent="0.3">
      <c r="D196" s="2"/>
      <c r="F196" s="2"/>
      <c r="G196" s="2"/>
      <c r="H196" s="2"/>
      <c r="K196" s="24"/>
    </row>
    <row r="197" spans="4:11" ht="14.25" customHeight="1" x14ac:dyDescent="0.3">
      <c r="D197" s="2"/>
      <c r="F197" s="2"/>
      <c r="G197" s="2"/>
      <c r="H197" s="2"/>
      <c r="K197" s="24"/>
    </row>
    <row r="198" spans="4:11" ht="14.25" customHeight="1" x14ac:dyDescent="0.3">
      <c r="D198" s="2"/>
      <c r="F198" s="2"/>
      <c r="G198" s="2"/>
      <c r="H198" s="2"/>
      <c r="K198" s="24"/>
    </row>
    <row r="199" spans="4:11" ht="14.25" customHeight="1" x14ac:dyDescent="0.3">
      <c r="D199" s="2"/>
      <c r="F199" s="2"/>
      <c r="G199" s="2"/>
      <c r="H199" s="2"/>
      <c r="K199" s="24"/>
    </row>
    <row r="200" spans="4:11" ht="14.25" customHeight="1" x14ac:dyDescent="0.3">
      <c r="D200" s="2"/>
      <c r="F200" s="2"/>
      <c r="G200" s="2"/>
      <c r="H200" s="2"/>
      <c r="K200" s="24"/>
    </row>
    <row r="201" spans="4:11" ht="14.25" customHeight="1" x14ac:dyDescent="0.3">
      <c r="D201" s="2"/>
      <c r="F201" s="2"/>
      <c r="G201" s="2"/>
      <c r="H201" s="2"/>
      <c r="K201" s="24"/>
    </row>
    <row r="202" spans="4:11" ht="14.25" customHeight="1" x14ac:dyDescent="0.3">
      <c r="D202" s="2"/>
      <c r="F202" s="2"/>
      <c r="G202" s="2"/>
      <c r="H202" s="2"/>
      <c r="K202" s="24"/>
    </row>
    <row r="203" spans="4:11" ht="14.25" customHeight="1" x14ac:dyDescent="0.3">
      <c r="D203" s="2"/>
      <c r="F203" s="2"/>
      <c r="G203" s="2"/>
      <c r="H203" s="2"/>
      <c r="K203" s="24"/>
    </row>
    <row r="204" spans="4:11" ht="14.25" customHeight="1" x14ac:dyDescent="0.3">
      <c r="D204" s="2"/>
      <c r="F204" s="2"/>
      <c r="G204" s="2"/>
      <c r="H204" s="2"/>
      <c r="K204" s="24"/>
    </row>
    <row r="205" spans="4:11" ht="14.25" customHeight="1" x14ac:dyDescent="0.3">
      <c r="D205" s="2"/>
      <c r="F205" s="2"/>
      <c r="G205" s="2"/>
      <c r="H205" s="2"/>
      <c r="K205" s="24"/>
    </row>
    <row r="206" spans="4:11" ht="14.25" customHeight="1" x14ac:dyDescent="0.3">
      <c r="D206" s="2"/>
      <c r="F206" s="2"/>
      <c r="G206" s="2"/>
      <c r="H206" s="2"/>
      <c r="K206" s="24"/>
    </row>
    <row r="207" spans="4:11" ht="14.25" customHeight="1" x14ac:dyDescent="0.3">
      <c r="D207" s="2"/>
      <c r="F207" s="2"/>
      <c r="G207" s="2"/>
      <c r="H207" s="2"/>
      <c r="K207" s="24"/>
    </row>
    <row r="208" spans="4:11" ht="14.25" customHeight="1" x14ac:dyDescent="0.3">
      <c r="D208" s="2"/>
      <c r="F208" s="2"/>
      <c r="G208" s="2"/>
      <c r="H208" s="2"/>
      <c r="K208" s="24"/>
    </row>
    <row r="209" spans="4:11" ht="14.25" customHeight="1" x14ac:dyDescent="0.3">
      <c r="D209" s="2"/>
      <c r="F209" s="2"/>
      <c r="G209" s="2"/>
      <c r="H209" s="2"/>
      <c r="K209" s="24"/>
    </row>
    <row r="210" spans="4:11" ht="14.25" customHeight="1" x14ac:dyDescent="0.3">
      <c r="D210" s="2"/>
      <c r="F210" s="2"/>
      <c r="G210" s="2"/>
      <c r="H210" s="2"/>
      <c r="K210" s="24"/>
    </row>
    <row r="211" spans="4:11" ht="14.25" customHeight="1" x14ac:dyDescent="0.3">
      <c r="D211" s="2"/>
      <c r="F211" s="2"/>
      <c r="G211" s="2"/>
      <c r="H211" s="2"/>
      <c r="K211" s="24"/>
    </row>
    <row r="212" spans="4:11" ht="14.25" customHeight="1" x14ac:dyDescent="0.3">
      <c r="D212" s="2"/>
      <c r="F212" s="2"/>
      <c r="G212" s="2"/>
      <c r="H212" s="2"/>
      <c r="K212" s="24"/>
    </row>
    <row r="213" spans="4:11" ht="14.25" customHeight="1" x14ac:dyDescent="0.3">
      <c r="D213" s="2"/>
      <c r="F213" s="2"/>
      <c r="G213" s="2"/>
      <c r="H213" s="2"/>
      <c r="K213" s="24"/>
    </row>
    <row r="214" spans="4:11" ht="14.25" customHeight="1" x14ac:dyDescent="0.3">
      <c r="D214" s="2"/>
      <c r="F214" s="2"/>
      <c r="G214" s="2"/>
      <c r="H214" s="2"/>
      <c r="K214" s="24"/>
    </row>
    <row r="215" spans="4:11" ht="14.25" customHeight="1" x14ac:dyDescent="0.3">
      <c r="D215" s="2"/>
      <c r="F215" s="2"/>
      <c r="G215" s="2"/>
      <c r="H215" s="2"/>
      <c r="K215" s="24"/>
    </row>
    <row r="216" spans="4:11" ht="14.25" customHeight="1" x14ac:dyDescent="0.3">
      <c r="D216" s="2"/>
      <c r="F216" s="2"/>
      <c r="G216" s="2"/>
      <c r="H216" s="2"/>
      <c r="K216" s="24"/>
    </row>
    <row r="217" spans="4:11" ht="14.25" customHeight="1" x14ac:dyDescent="0.3">
      <c r="D217" s="2"/>
      <c r="F217" s="2"/>
      <c r="G217" s="2"/>
      <c r="H217" s="2"/>
      <c r="K217" s="24"/>
    </row>
    <row r="218" spans="4:11" ht="14.25" customHeight="1" x14ac:dyDescent="0.3">
      <c r="D218" s="2"/>
      <c r="F218" s="2"/>
      <c r="G218" s="2"/>
      <c r="H218" s="2"/>
      <c r="K218" s="24"/>
    </row>
    <row r="219" spans="4:11" ht="14.25" customHeight="1" x14ac:dyDescent="0.3">
      <c r="D219" s="2"/>
      <c r="F219" s="2"/>
      <c r="G219" s="2"/>
      <c r="H219" s="2"/>
      <c r="K219" s="24"/>
    </row>
    <row r="220" spans="4:11" ht="14.25" customHeight="1" x14ac:dyDescent="0.3">
      <c r="D220" s="2"/>
      <c r="F220" s="2"/>
      <c r="G220" s="2"/>
      <c r="H220" s="2"/>
      <c r="K220" s="24"/>
    </row>
    <row r="221" spans="4:11" ht="14.25" customHeight="1" x14ac:dyDescent="0.3">
      <c r="D221" s="2"/>
      <c r="F221" s="2"/>
      <c r="G221" s="2"/>
      <c r="H221" s="2"/>
      <c r="K221" s="24"/>
    </row>
    <row r="222" spans="4:11" ht="14.25" customHeight="1" x14ac:dyDescent="0.3">
      <c r="D222" s="2"/>
      <c r="F222" s="2"/>
      <c r="G222" s="2"/>
      <c r="H222" s="2"/>
      <c r="K222" s="24"/>
    </row>
    <row r="223" spans="4:11" ht="14.25" customHeight="1" x14ac:dyDescent="0.3">
      <c r="D223" s="2"/>
      <c r="F223" s="2"/>
      <c r="G223" s="2"/>
      <c r="H223" s="2"/>
      <c r="K223" s="24"/>
    </row>
    <row r="224" spans="4:11" ht="14.25" customHeight="1" x14ac:dyDescent="0.3">
      <c r="D224" s="2"/>
      <c r="F224" s="2"/>
      <c r="G224" s="2"/>
      <c r="H224" s="2"/>
      <c r="K224" s="24"/>
    </row>
    <row r="225" spans="4:11" ht="14.25" customHeight="1" x14ac:dyDescent="0.3">
      <c r="D225" s="2"/>
      <c r="F225" s="2"/>
      <c r="G225" s="2"/>
      <c r="H225" s="2"/>
      <c r="K225" s="24"/>
    </row>
    <row r="226" spans="4:11" ht="14.25" customHeight="1" x14ac:dyDescent="0.3">
      <c r="D226" s="2"/>
      <c r="F226" s="2"/>
      <c r="G226" s="2"/>
      <c r="H226" s="2"/>
      <c r="K226" s="24"/>
    </row>
    <row r="227" spans="4:11" ht="14.25" customHeight="1" x14ac:dyDescent="0.3">
      <c r="D227" s="2"/>
      <c r="F227" s="2"/>
      <c r="G227" s="2"/>
      <c r="H227" s="2"/>
      <c r="K227" s="24"/>
    </row>
    <row r="228" spans="4:11" ht="14.25" customHeight="1" x14ac:dyDescent="0.3">
      <c r="D228" s="2"/>
      <c r="F228" s="2"/>
      <c r="G228" s="2"/>
      <c r="H228" s="2"/>
      <c r="K228" s="24"/>
    </row>
    <row r="229" spans="4:11" ht="14.25" customHeight="1" x14ac:dyDescent="0.3">
      <c r="D229" s="2"/>
      <c r="F229" s="2"/>
      <c r="G229" s="2"/>
      <c r="H229" s="2"/>
      <c r="K229" s="24"/>
    </row>
    <row r="230" spans="4:11" ht="14.25" customHeight="1" x14ac:dyDescent="0.3">
      <c r="D230" s="2"/>
      <c r="F230" s="2"/>
      <c r="G230" s="2"/>
      <c r="H230" s="2"/>
      <c r="K230" s="24"/>
    </row>
    <row r="231" spans="4:11" ht="14.25" customHeight="1" x14ac:dyDescent="0.3">
      <c r="D231" s="2"/>
      <c r="F231" s="2"/>
      <c r="G231" s="2"/>
      <c r="H231" s="2"/>
      <c r="K231" s="24"/>
    </row>
    <row r="232" spans="4:11" ht="14.25" customHeight="1" x14ac:dyDescent="0.3">
      <c r="D232" s="2"/>
      <c r="F232" s="2"/>
      <c r="G232" s="2"/>
      <c r="H232" s="2"/>
      <c r="K232" s="24"/>
    </row>
    <row r="233" spans="4:11" ht="14.25" customHeight="1" x14ac:dyDescent="0.3">
      <c r="D233" s="2"/>
      <c r="F233" s="2"/>
      <c r="G233" s="2"/>
      <c r="H233" s="2"/>
      <c r="K233" s="24"/>
    </row>
    <row r="234" spans="4:11" ht="14.25" customHeight="1" x14ac:dyDescent="0.3">
      <c r="D234" s="2"/>
      <c r="F234" s="2"/>
      <c r="G234" s="2"/>
      <c r="H234" s="2"/>
      <c r="K234" s="24"/>
    </row>
    <row r="235" spans="4:11" ht="14.25" customHeight="1" x14ac:dyDescent="0.3">
      <c r="D235" s="2"/>
      <c r="F235" s="2"/>
      <c r="G235" s="2"/>
      <c r="H235" s="2"/>
      <c r="K235" s="24"/>
    </row>
    <row r="236" spans="4:11" ht="14.25" customHeight="1" x14ac:dyDescent="0.3">
      <c r="D236" s="2"/>
      <c r="F236" s="2"/>
      <c r="G236" s="2"/>
      <c r="H236" s="2"/>
      <c r="K236" s="24"/>
    </row>
    <row r="237" spans="4:11" ht="14.25" customHeight="1" x14ac:dyDescent="0.3">
      <c r="D237" s="2"/>
      <c r="F237" s="2"/>
      <c r="G237" s="2"/>
      <c r="H237" s="2"/>
      <c r="K237" s="24"/>
    </row>
    <row r="238" spans="4:11" ht="14.25" customHeight="1" x14ac:dyDescent="0.3">
      <c r="D238" s="2"/>
      <c r="F238" s="2"/>
      <c r="G238" s="2"/>
      <c r="H238" s="2"/>
      <c r="K238" s="24"/>
    </row>
    <row r="239" spans="4:11" ht="14.25" customHeight="1" x14ac:dyDescent="0.3">
      <c r="D239" s="2"/>
      <c r="F239" s="2"/>
      <c r="G239" s="2"/>
      <c r="H239" s="2"/>
      <c r="K239" s="24"/>
    </row>
    <row r="240" spans="4:11" ht="14.25" customHeight="1" x14ac:dyDescent="0.3">
      <c r="D240" s="2"/>
      <c r="F240" s="2"/>
      <c r="G240" s="2"/>
      <c r="H240" s="2"/>
      <c r="K240" s="24"/>
    </row>
    <row r="241" spans="4:11" ht="14.25" customHeight="1" x14ac:dyDescent="0.3">
      <c r="D241" s="2"/>
      <c r="F241" s="2"/>
      <c r="G241" s="2"/>
      <c r="H241" s="2"/>
      <c r="K241" s="24"/>
    </row>
    <row r="242" spans="4:11" ht="14.25" customHeight="1" x14ac:dyDescent="0.3">
      <c r="D242" s="2"/>
      <c r="F242" s="2"/>
      <c r="G242" s="2"/>
      <c r="H242" s="2"/>
      <c r="K242" s="24"/>
    </row>
    <row r="243" spans="4:11" ht="14.25" customHeight="1" x14ac:dyDescent="0.3">
      <c r="D243" s="2"/>
      <c r="F243" s="2"/>
      <c r="G243" s="2"/>
      <c r="H243" s="2"/>
      <c r="K243" s="24"/>
    </row>
    <row r="244" spans="4:11" ht="14.25" customHeight="1" x14ac:dyDescent="0.3">
      <c r="D244" s="2"/>
      <c r="F244" s="2"/>
      <c r="G244" s="2"/>
      <c r="H244" s="2"/>
      <c r="K244" s="24"/>
    </row>
    <row r="245" spans="4:11" ht="14.25" customHeight="1" x14ac:dyDescent="0.3">
      <c r="D245" s="2"/>
      <c r="F245" s="2"/>
      <c r="G245" s="2"/>
      <c r="H245" s="2"/>
      <c r="K245" s="24"/>
    </row>
    <row r="246" spans="4:11" ht="14.25" customHeight="1" x14ac:dyDescent="0.3">
      <c r="D246" s="2"/>
      <c r="F246" s="2"/>
      <c r="G246" s="2"/>
      <c r="H246" s="2"/>
      <c r="K246" s="24"/>
    </row>
    <row r="247" spans="4:11" ht="14.25" customHeight="1" x14ac:dyDescent="0.3">
      <c r="D247" s="2"/>
      <c r="F247" s="2"/>
      <c r="G247" s="2"/>
      <c r="H247" s="2"/>
      <c r="K247" s="24"/>
    </row>
    <row r="248" spans="4:11" ht="14.25" customHeight="1" x14ac:dyDescent="0.3">
      <c r="D248" s="2"/>
      <c r="F248" s="2"/>
      <c r="G248" s="2"/>
      <c r="H248" s="2"/>
      <c r="K248" s="24"/>
    </row>
    <row r="249" spans="4:11" ht="14.25" customHeight="1" x14ac:dyDescent="0.3">
      <c r="D249" s="2"/>
      <c r="F249" s="2"/>
      <c r="G249" s="2"/>
      <c r="H249" s="2"/>
      <c r="K249" s="24"/>
    </row>
    <row r="250" spans="4:11" ht="14.25" customHeight="1" x14ac:dyDescent="0.3">
      <c r="D250" s="2"/>
      <c r="F250" s="2"/>
      <c r="G250" s="2"/>
      <c r="H250" s="2"/>
      <c r="K250" s="24"/>
    </row>
    <row r="251" spans="4:11" ht="14.25" customHeight="1" x14ac:dyDescent="0.3">
      <c r="D251" s="2"/>
      <c r="F251" s="2"/>
      <c r="G251" s="2"/>
      <c r="H251" s="2"/>
      <c r="K251" s="24"/>
    </row>
    <row r="252" spans="4:11" ht="14.25" customHeight="1" x14ac:dyDescent="0.3">
      <c r="D252" s="2"/>
      <c r="F252" s="2"/>
      <c r="G252" s="2"/>
      <c r="H252" s="2"/>
      <c r="K252" s="24"/>
    </row>
    <row r="253" spans="4:11" ht="14.25" customHeight="1" x14ac:dyDescent="0.3">
      <c r="D253" s="2"/>
      <c r="F253" s="2"/>
      <c r="G253" s="2"/>
      <c r="H253" s="2"/>
      <c r="K253" s="24"/>
    </row>
    <row r="254" spans="4:11" ht="14.25" customHeight="1" x14ac:dyDescent="0.3">
      <c r="D254" s="2"/>
      <c r="F254" s="2"/>
      <c r="G254" s="2"/>
      <c r="H254" s="2"/>
      <c r="K254" s="24"/>
    </row>
    <row r="255" spans="4:11" ht="14.25" customHeight="1" x14ac:dyDescent="0.3">
      <c r="D255" s="2"/>
      <c r="F255" s="2"/>
      <c r="G255" s="2"/>
      <c r="H255" s="2"/>
      <c r="K255" s="24"/>
    </row>
    <row r="256" spans="4:11" ht="14.25" customHeight="1" x14ac:dyDescent="0.3">
      <c r="D256" s="2"/>
      <c r="F256" s="2"/>
      <c r="G256" s="2"/>
      <c r="H256" s="2"/>
      <c r="K256" s="24"/>
    </row>
    <row r="257" spans="4:11" ht="14.25" customHeight="1" x14ac:dyDescent="0.3">
      <c r="D257" s="2"/>
      <c r="F257" s="2"/>
      <c r="G257" s="2"/>
      <c r="H257" s="2"/>
      <c r="K257" s="24"/>
    </row>
    <row r="258" spans="4:11" ht="14.25" customHeight="1" x14ac:dyDescent="0.3">
      <c r="D258" s="2"/>
      <c r="F258" s="2"/>
      <c r="G258" s="2"/>
      <c r="H258" s="2"/>
      <c r="K258" s="24"/>
    </row>
    <row r="259" spans="4:11" ht="14.25" customHeight="1" x14ac:dyDescent="0.3">
      <c r="D259" s="2"/>
      <c r="F259" s="2"/>
      <c r="G259" s="2"/>
      <c r="H259" s="2"/>
      <c r="K259" s="24"/>
    </row>
    <row r="260" spans="4:11" ht="14.25" customHeight="1" x14ac:dyDescent="0.3">
      <c r="D260" s="2"/>
      <c r="F260" s="2"/>
      <c r="G260" s="2"/>
      <c r="H260" s="2"/>
      <c r="K260" s="24"/>
    </row>
    <row r="261" spans="4:11" ht="14.25" customHeight="1" x14ac:dyDescent="0.3">
      <c r="D261" s="2"/>
      <c r="F261" s="2"/>
      <c r="G261" s="2"/>
      <c r="H261" s="2"/>
      <c r="K261" s="24"/>
    </row>
    <row r="262" spans="4:11" ht="14.25" customHeight="1" x14ac:dyDescent="0.3">
      <c r="D262" s="2"/>
      <c r="F262" s="2"/>
      <c r="G262" s="2"/>
      <c r="H262" s="2"/>
      <c r="K262" s="24"/>
    </row>
    <row r="263" spans="4:11" ht="14.25" customHeight="1" x14ac:dyDescent="0.3">
      <c r="D263" s="2"/>
      <c r="F263" s="2"/>
      <c r="G263" s="2"/>
      <c r="H263" s="2"/>
      <c r="K263" s="24"/>
    </row>
    <row r="264" spans="4:11" ht="14.25" customHeight="1" x14ac:dyDescent="0.3">
      <c r="D264" s="2"/>
      <c r="F264" s="2"/>
      <c r="G264" s="2"/>
      <c r="H264" s="2"/>
      <c r="K264" s="24"/>
    </row>
    <row r="265" spans="4:11" ht="14.25" customHeight="1" x14ac:dyDescent="0.3">
      <c r="D265" s="2"/>
      <c r="F265" s="2"/>
      <c r="G265" s="2"/>
      <c r="H265" s="2"/>
      <c r="K265" s="24"/>
    </row>
    <row r="266" spans="4:11" ht="14.25" customHeight="1" x14ac:dyDescent="0.3">
      <c r="D266" s="2"/>
      <c r="F266" s="2"/>
      <c r="G266" s="2"/>
      <c r="H266" s="2"/>
      <c r="K266" s="24"/>
    </row>
    <row r="267" spans="4:11" ht="14.25" customHeight="1" x14ac:dyDescent="0.3">
      <c r="D267" s="2"/>
      <c r="F267" s="2"/>
      <c r="G267" s="2"/>
      <c r="H267" s="2"/>
      <c r="K267" s="24"/>
    </row>
    <row r="268" spans="4:11" ht="14.25" customHeight="1" x14ac:dyDescent="0.3">
      <c r="D268" s="2"/>
      <c r="F268" s="2"/>
      <c r="G268" s="2"/>
      <c r="H268" s="2"/>
      <c r="K268" s="24"/>
    </row>
    <row r="269" spans="4:11" ht="14.25" customHeight="1" x14ac:dyDescent="0.3">
      <c r="D269" s="2"/>
      <c r="F269" s="2"/>
      <c r="G269" s="2"/>
      <c r="H269" s="2"/>
      <c r="K269" s="24"/>
    </row>
    <row r="270" spans="4:11" ht="14.25" customHeight="1" x14ac:dyDescent="0.3">
      <c r="D270" s="2"/>
      <c r="F270" s="2"/>
      <c r="G270" s="2"/>
      <c r="H270" s="2"/>
      <c r="K270" s="24"/>
    </row>
    <row r="271" spans="4:11" ht="14.25" customHeight="1" x14ac:dyDescent="0.3">
      <c r="D271" s="2"/>
      <c r="F271" s="2"/>
      <c r="G271" s="2"/>
      <c r="H271" s="2"/>
      <c r="K271" s="24"/>
    </row>
    <row r="272" spans="4:11" ht="14.25" customHeight="1" x14ac:dyDescent="0.3">
      <c r="D272" s="2"/>
      <c r="F272" s="2"/>
      <c r="G272" s="2"/>
      <c r="H272" s="2"/>
      <c r="K272" s="24"/>
    </row>
    <row r="273" spans="4:11" ht="14.25" customHeight="1" x14ac:dyDescent="0.3">
      <c r="D273" s="2"/>
      <c r="F273" s="2"/>
      <c r="G273" s="2"/>
      <c r="H273" s="2"/>
      <c r="K273" s="24"/>
    </row>
    <row r="274" spans="4:11" ht="14.25" customHeight="1" x14ac:dyDescent="0.3">
      <c r="D274" s="2"/>
      <c r="F274" s="2"/>
      <c r="G274" s="2"/>
      <c r="H274" s="2"/>
      <c r="K274" s="24"/>
    </row>
    <row r="275" spans="4:11" ht="14.25" customHeight="1" x14ac:dyDescent="0.3">
      <c r="D275" s="2"/>
      <c r="F275" s="2"/>
      <c r="G275" s="2"/>
      <c r="H275" s="2"/>
      <c r="K275" s="24"/>
    </row>
    <row r="276" spans="4:11" ht="14.25" customHeight="1" x14ac:dyDescent="0.3">
      <c r="D276" s="2"/>
      <c r="F276" s="2"/>
      <c r="G276" s="2"/>
      <c r="H276" s="2"/>
      <c r="K276" s="24"/>
    </row>
    <row r="277" spans="4:11" ht="14.25" customHeight="1" x14ac:dyDescent="0.3">
      <c r="D277" s="2"/>
      <c r="F277" s="2"/>
      <c r="G277" s="2"/>
      <c r="H277" s="2"/>
      <c r="K277" s="24"/>
    </row>
    <row r="278" spans="4:11" ht="14.25" customHeight="1" x14ac:dyDescent="0.3">
      <c r="D278" s="2"/>
      <c r="F278" s="2"/>
      <c r="G278" s="2"/>
      <c r="H278" s="2"/>
      <c r="K278" s="24"/>
    </row>
    <row r="279" spans="4:11" ht="14.25" customHeight="1" x14ac:dyDescent="0.3">
      <c r="D279" s="2"/>
      <c r="F279" s="2"/>
      <c r="G279" s="2"/>
      <c r="H279" s="2"/>
      <c r="K279" s="24"/>
    </row>
    <row r="280" spans="4:11" ht="14.25" customHeight="1" x14ac:dyDescent="0.3">
      <c r="D280" s="2"/>
      <c r="F280" s="2"/>
      <c r="G280" s="2"/>
      <c r="H280" s="2"/>
      <c r="K280" s="24"/>
    </row>
    <row r="281" spans="4:11" ht="14.25" customHeight="1" x14ac:dyDescent="0.3">
      <c r="D281" s="2"/>
      <c r="F281" s="2"/>
      <c r="G281" s="2"/>
      <c r="H281" s="2"/>
      <c r="K281" s="24"/>
    </row>
    <row r="282" spans="4:11" ht="14.25" customHeight="1" x14ac:dyDescent="0.3">
      <c r="D282" s="2"/>
      <c r="F282" s="2"/>
      <c r="G282" s="2"/>
      <c r="H282" s="2"/>
      <c r="K282" s="24"/>
    </row>
    <row r="283" spans="4:11" ht="14.25" customHeight="1" x14ac:dyDescent="0.3">
      <c r="D283" s="2"/>
      <c r="F283" s="2"/>
      <c r="G283" s="2"/>
      <c r="H283" s="2"/>
      <c r="K283" s="24"/>
    </row>
    <row r="284" spans="4:11" ht="14.25" customHeight="1" x14ac:dyDescent="0.3">
      <c r="D284" s="2"/>
      <c r="F284" s="2"/>
      <c r="G284" s="2"/>
      <c r="H284" s="2"/>
      <c r="K284" s="24"/>
    </row>
    <row r="285" spans="4:11" ht="14.25" customHeight="1" x14ac:dyDescent="0.3">
      <c r="D285" s="2"/>
      <c r="F285" s="2"/>
      <c r="G285" s="2"/>
      <c r="H285" s="2"/>
      <c r="K285" s="24"/>
    </row>
    <row r="286" spans="4:11" ht="14.25" customHeight="1" x14ac:dyDescent="0.3">
      <c r="D286" s="2"/>
      <c r="F286" s="2"/>
      <c r="G286" s="2"/>
      <c r="H286" s="2"/>
      <c r="K286" s="24"/>
    </row>
    <row r="287" spans="4:11" ht="14.25" customHeight="1" x14ac:dyDescent="0.3">
      <c r="D287" s="2"/>
      <c r="F287" s="2"/>
      <c r="G287" s="2"/>
      <c r="H287" s="2"/>
      <c r="K287" s="24"/>
    </row>
    <row r="288" spans="4:11" ht="14.25" customHeight="1" x14ac:dyDescent="0.3">
      <c r="D288" s="2"/>
      <c r="F288" s="2"/>
      <c r="G288" s="2"/>
      <c r="H288" s="2"/>
      <c r="K288" s="24"/>
    </row>
    <row r="289" spans="4:11" ht="14.25" customHeight="1" x14ac:dyDescent="0.3">
      <c r="D289" s="2"/>
      <c r="F289" s="2"/>
      <c r="G289" s="2"/>
      <c r="H289" s="2"/>
      <c r="K289" s="24"/>
    </row>
    <row r="290" spans="4:11" ht="14.25" customHeight="1" x14ac:dyDescent="0.3">
      <c r="D290" s="2"/>
      <c r="F290" s="2"/>
      <c r="G290" s="2"/>
      <c r="H290" s="2"/>
      <c r="K290" s="24"/>
    </row>
    <row r="291" spans="4:11" ht="14.25" customHeight="1" x14ac:dyDescent="0.3">
      <c r="D291" s="2"/>
      <c r="F291" s="2"/>
      <c r="G291" s="2"/>
      <c r="H291" s="2"/>
      <c r="K291" s="24"/>
    </row>
    <row r="292" spans="4:11" ht="14.25" customHeight="1" x14ac:dyDescent="0.3">
      <c r="D292" s="2"/>
      <c r="F292" s="2"/>
      <c r="G292" s="2"/>
      <c r="H292" s="2"/>
      <c r="K292" s="24"/>
    </row>
    <row r="293" spans="4:11" ht="14.25" customHeight="1" x14ac:dyDescent="0.3">
      <c r="D293" s="2"/>
      <c r="F293" s="2"/>
      <c r="G293" s="2"/>
      <c r="H293" s="2"/>
      <c r="K293" s="24"/>
    </row>
    <row r="294" spans="4:11" ht="14.25" customHeight="1" x14ac:dyDescent="0.3">
      <c r="D294" s="2"/>
      <c r="F294" s="2"/>
      <c r="G294" s="2"/>
      <c r="H294" s="2"/>
      <c r="K294" s="24"/>
    </row>
    <row r="295" spans="4:11" ht="14.25" customHeight="1" x14ac:dyDescent="0.3">
      <c r="D295" s="2"/>
      <c r="F295" s="2"/>
      <c r="G295" s="2"/>
      <c r="H295" s="2"/>
      <c r="K295" s="24"/>
    </row>
    <row r="296" spans="4:11" ht="14.25" customHeight="1" x14ac:dyDescent="0.3">
      <c r="D296" s="2"/>
      <c r="F296" s="2"/>
      <c r="G296" s="2"/>
      <c r="H296" s="2"/>
      <c r="K296" s="24"/>
    </row>
    <row r="297" spans="4:11" ht="14.25" customHeight="1" x14ac:dyDescent="0.3">
      <c r="D297" s="2"/>
      <c r="F297" s="2"/>
      <c r="G297" s="2"/>
      <c r="H297" s="2"/>
      <c r="K297" s="24"/>
    </row>
    <row r="298" spans="4:11" ht="14.25" customHeight="1" x14ac:dyDescent="0.3">
      <c r="D298" s="2"/>
      <c r="F298" s="2"/>
      <c r="G298" s="2"/>
      <c r="H298" s="2"/>
      <c r="K298" s="24"/>
    </row>
    <row r="299" spans="4:11" ht="14.25" customHeight="1" x14ac:dyDescent="0.3">
      <c r="D299" s="2"/>
      <c r="F299" s="2"/>
      <c r="G299" s="2"/>
      <c r="H299" s="2"/>
      <c r="K299" s="24"/>
    </row>
    <row r="300" spans="4:11" ht="14.25" customHeight="1" x14ac:dyDescent="0.3">
      <c r="D300" s="2"/>
      <c r="F300" s="2"/>
      <c r="G300" s="2"/>
      <c r="H300" s="2"/>
      <c r="K300" s="24"/>
    </row>
    <row r="301" spans="4:11" ht="14.25" customHeight="1" x14ac:dyDescent="0.3">
      <c r="D301" s="2"/>
      <c r="F301" s="2"/>
      <c r="G301" s="2"/>
      <c r="H301" s="2"/>
      <c r="K301" s="24"/>
    </row>
    <row r="302" spans="4:11" ht="14.25" customHeight="1" x14ac:dyDescent="0.3">
      <c r="D302" s="2"/>
      <c r="F302" s="2"/>
      <c r="G302" s="2"/>
      <c r="H302" s="2"/>
      <c r="K302" s="24"/>
    </row>
    <row r="303" spans="4:11" ht="14.25" customHeight="1" x14ac:dyDescent="0.3">
      <c r="D303" s="2"/>
      <c r="F303" s="2"/>
      <c r="G303" s="2"/>
      <c r="H303" s="2"/>
      <c r="K303" s="24"/>
    </row>
    <row r="304" spans="4:11" ht="14.25" customHeight="1" x14ac:dyDescent="0.3">
      <c r="D304" s="2"/>
      <c r="F304" s="2"/>
      <c r="G304" s="2"/>
      <c r="H304" s="2"/>
      <c r="K304" s="24"/>
    </row>
    <row r="305" spans="4:11" ht="14.25" customHeight="1" x14ac:dyDescent="0.3">
      <c r="D305" s="2"/>
      <c r="F305" s="2"/>
      <c r="G305" s="2"/>
      <c r="H305" s="2"/>
      <c r="K305" s="24"/>
    </row>
    <row r="306" spans="4:11" ht="14.25" customHeight="1" x14ac:dyDescent="0.3">
      <c r="D306" s="2"/>
      <c r="F306" s="2"/>
      <c r="G306" s="2"/>
      <c r="H306" s="2"/>
      <c r="K306" s="24"/>
    </row>
    <row r="307" spans="4:11" ht="14.25" customHeight="1" x14ac:dyDescent="0.3">
      <c r="D307" s="2"/>
      <c r="F307" s="2"/>
      <c r="G307" s="2"/>
      <c r="H307" s="2"/>
      <c r="K307" s="24"/>
    </row>
    <row r="308" spans="4:11" ht="14.25" customHeight="1" x14ac:dyDescent="0.3">
      <c r="D308" s="2"/>
      <c r="F308" s="2"/>
      <c r="G308" s="2"/>
      <c r="H308" s="2"/>
      <c r="K308" s="24"/>
    </row>
    <row r="309" spans="4:11" ht="14.25" customHeight="1" x14ac:dyDescent="0.3">
      <c r="D309" s="2"/>
      <c r="F309" s="2"/>
      <c r="G309" s="2"/>
      <c r="H309" s="2"/>
      <c r="K309" s="24"/>
    </row>
    <row r="310" spans="4:11" ht="14.25" customHeight="1" x14ac:dyDescent="0.3">
      <c r="D310" s="2"/>
      <c r="F310" s="2"/>
      <c r="G310" s="2"/>
      <c r="H310" s="2"/>
      <c r="K310" s="24"/>
    </row>
    <row r="311" spans="4:11" ht="14.25" customHeight="1" x14ac:dyDescent="0.3">
      <c r="D311" s="2"/>
      <c r="F311" s="2"/>
      <c r="G311" s="2"/>
      <c r="H311" s="2"/>
      <c r="K311" s="24"/>
    </row>
    <row r="312" spans="4:11" ht="14.25" customHeight="1" x14ac:dyDescent="0.3">
      <c r="D312" s="2"/>
      <c r="F312" s="2"/>
      <c r="G312" s="2"/>
      <c r="H312" s="2"/>
      <c r="K312" s="24"/>
    </row>
    <row r="313" spans="4:11" ht="14.25" customHeight="1" x14ac:dyDescent="0.3">
      <c r="D313" s="2"/>
      <c r="F313" s="2"/>
      <c r="G313" s="2"/>
      <c r="H313" s="2"/>
      <c r="K313" s="24"/>
    </row>
    <row r="314" spans="4:11" ht="14.25" customHeight="1" x14ac:dyDescent="0.3">
      <c r="D314" s="2"/>
      <c r="F314" s="2"/>
      <c r="G314" s="2"/>
      <c r="H314" s="2"/>
      <c r="K314" s="24"/>
    </row>
    <row r="315" spans="4:11" ht="14.25" customHeight="1" x14ac:dyDescent="0.3">
      <c r="D315" s="2"/>
      <c r="F315" s="2"/>
      <c r="G315" s="2"/>
      <c r="H315" s="2"/>
      <c r="K315" s="24"/>
    </row>
    <row r="316" spans="4:11" ht="14.25" customHeight="1" x14ac:dyDescent="0.3">
      <c r="D316" s="2"/>
      <c r="F316" s="2"/>
      <c r="G316" s="2"/>
      <c r="H316" s="2"/>
      <c r="K316" s="24"/>
    </row>
    <row r="317" spans="4:11" ht="14.25" customHeight="1" x14ac:dyDescent="0.3">
      <c r="D317" s="2"/>
      <c r="F317" s="2"/>
      <c r="G317" s="2"/>
      <c r="H317" s="2"/>
      <c r="K317" s="24"/>
    </row>
    <row r="318" spans="4:11" ht="14.25" customHeight="1" x14ac:dyDescent="0.3">
      <c r="D318" s="2"/>
      <c r="F318" s="2"/>
      <c r="G318" s="2"/>
      <c r="H318" s="2"/>
      <c r="K318" s="24"/>
    </row>
    <row r="319" spans="4:11" ht="14.25" customHeight="1" x14ac:dyDescent="0.3">
      <c r="D319" s="2"/>
      <c r="F319" s="2"/>
      <c r="G319" s="2"/>
      <c r="H319" s="2"/>
      <c r="K319" s="24"/>
    </row>
    <row r="320" spans="4:11" ht="14.25" customHeight="1" x14ac:dyDescent="0.3">
      <c r="D320" s="2"/>
      <c r="F320" s="2"/>
      <c r="G320" s="2"/>
      <c r="H320" s="2"/>
      <c r="K320" s="24"/>
    </row>
    <row r="321" spans="4:11" ht="14.25" customHeight="1" x14ac:dyDescent="0.3">
      <c r="D321" s="2"/>
      <c r="F321" s="2"/>
      <c r="G321" s="2"/>
      <c r="H321" s="2"/>
      <c r="K321" s="24"/>
    </row>
    <row r="322" spans="4:11" ht="14.25" customHeight="1" x14ac:dyDescent="0.3">
      <c r="D322" s="2"/>
      <c r="F322" s="2"/>
      <c r="G322" s="2"/>
      <c r="H322" s="2"/>
      <c r="K322" s="24"/>
    </row>
    <row r="323" spans="4:11" ht="14.25" customHeight="1" x14ac:dyDescent="0.3">
      <c r="D323" s="2"/>
      <c r="F323" s="2"/>
      <c r="G323" s="2"/>
      <c r="H323" s="2"/>
      <c r="K323" s="24"/>
    </row>
    <row r="324" spans="4:11" ht="14.25" customHeight="1" x14ac:dyDescent="0.3">
      <c r="D324" s="2"/>
      <c r="F324" s="2"/>
      <c r="G324" s="2"/>
      <c r="H324" s="2"/>
      <c r="K324" s="24"/>
    </row>
    <row r="325" spans="4:11" ht="14.25" customHeight="1" x14ac:dyDescent="0.3">
      <c r="D325" s="2"/>
      <c r="F325" s="2"/>
      <c r="G325" s="2"/>
      <c r="H325" s="2"/>
      <c r="K325" s="24"/>
    </row>
    <row r="326" spans="4:11" ht="14.25" customHeight="1" x14ac:dyDescent="0.3">
      <c r="D326" s="2"/>
      <c r="F326" s="2"/>
      <c r="G326" s="2"/>
      <c r="H326" s="2"/>
      <c r="K326" s="24"/>
    </row>
    <row r="327" spans="4:11" ht="14.25" customHeight="1" x14ac:dyDescent="0.3">
      <c r="D327" s="2"/>
      <c r="F327" s="2"/>
      <c r="G327" s="2"/>
      <c r="H327" s="2"/>
      <c r="K327" s="24"/>
    </row>
    <row r="328" spans="4:11" ht="14.25" customHeight="1" x14ac:dyDescent="0.3">
      <c r="D328" s="2"/>
      <c r="F328" s="2"/>
      <c r="G328" s="2"/>
      <c r="H328" s="2"/>
      <c r="K328" s="24"/>
    </row>
    <row r="329" spans="4:11" ht="14.25" customHeight="1" x14ac:dyDescent="0.3">
      <c r="D329" s="2"/>
      <c r="F329" s="2"/>
      <c r="G329" s="2"/>
      <c r="H329" s="2"/>
      <c r="K329" s="24"/>
    </row>
    <row r="330" spans="4:11" ht="14.25" customHeight="1" x14ac:dyDescent="0.3">
      <c r="D330" s="2"/>
      <c r="F330" s="2"/>
      <c r="G330" s="2"/>
      <c r="H330" s="2"/>
      <c r="K330" s="24"/>
    </row>
    <row r="331" spans="4:11" ht="14.25" customHeight="1" x14ac:dyDescent="0.3">
      <c r="D331" s="2"/>
      <c r="F331" s="2"/>
      <c r="G331" s="2"/>
      <c r="H331" s="2"/>
      <c r="K331" s="24"/>
    </row>
    <row r="332" spans="4:11" ht="14.25" customHeight="1" x14ac:dyDescent="0.3">
      <c r="D332" s="2"/>
      <c r="F332" s="2"/>
      <c r="G332" s="2"/>
      <c r="H332" s="2"/>
      <c r="K332" s="24"/>
    </row>
    <row r="333" spans="4:11" ht="14.25" customHeight="1" x14ac:dyDescent="0.3">
      <c r="D333" s="2"/>
      <c r="F333" s="2"/>
      <c r="G333" s="2"/>
      <c r="H333" s="2"/>
      <c r="K333" s="24"/>
    </row>
    <row r="334" spans="4:11" ht="14.25" customHeight="1" x14ac:dyDescent="0.3">
      <c r="D334" s="2"/>
      <c r="F334" s="2"/>
      <c r="G334" s="2"/>
      <c r="H334" s="2"/>
      <c r="K334" s="24"/>
    </row>
    <row r="335" spans="4:11" ht="14.25" customHeight="1" x14ac:dyDescent="0.3">
      <c r="D335" s="2"/>
      <c r="F335" s="2"/>
      <c r="G335" s="2"/>
      <c r="H335" s="2"/>
      <c r="K335" s="24"/>
    </row>
    <row r="336" spans="4:11" ht="14.25" customHeight="1" x14ac:dyDescent="0.3">
      <c r="D336" s="2"/>
      <c r="F336" s="2"/>
      <c r="G336" s="2"/>
      <c r="H336" s="2"/>
      <c r="K336" s="24"/>
    </row>
    <row r="337" spans="4:11" ht="14.25" customHeight="1" x14ac:dyDescent="0.3">
      <c r="D337" s="2"/>
      <c r="F337" s="2"/>
      <c r="G337" s="2"/>
      <c r="H337" s="2"/>
      <c r="K337" s="24"/>
    </row>
    <row r="338" spans="4:11" ht="14.25" customHeight="1" x14ac:dyDescent="0.3">
      <c r="D338" s="2"/>
      <c r="F338" s="2"/>
      <c r="G338" s="2"/>
      <c r="H338" s="2"/>
      <c r="K338" s="24"/>
    </row>
    <row r="339" spans="4:11" ht="14.25" customHeight="1" x14ac:dyDescent="0.3">
      <c r="D339" s="2"/>
      <c r="F339" s="2"/>
      <c r="G339" s="2"/>
      <c r="H339" s="2"/>
      <c r="K339" s="24"/>
    </row>
    <row r="340" spans="4:11" ht="14.25" customHeight="1" x14ac:dyDescent="0.3">
      <c r="D340" s="2"/>
      <c r="F340" s="2"/>
      <c r="G340" s="2"/>
      <c r="H340" s="2"/>
      <c r="K340" s="24"/>
    </row>
    <row r="341" spans="4:11" ht="14.25" customHeight="1" x14ac:dyDescent="0.3">
      <c r="D341" s="2"/>
      <c r="F341" s="2"/>
      <c r="G341" s="2"/>
      <c r="H341" s="2"/>
      <c r="K341" s="24"/>
    </row>
    <row r="342" spans="4:11" ht="14.25" customHeight="1" x14ac:dyDescent="0.3">
      <c r="D342" s="2"/>
      <c r="F342" s="2"/>
      <c r="G342" s="2"/>
      <c r="H342" s="2"/>
      <c r="K342" s="24"/>
    </row>
    <row r="343" spans="4:11" ht="14.25" customHeight="1" x14ac:dyDescent="0.3">
      <c r="D343" s="2"/>
      <c r="F343" s="2"/>
      <c r="G343" s="2"/>
      <c r="H343" s="2"/>
      <c r="K343" s="24"/>
    </row>
    <row r="344" spans="4:11" ht="14.25" customHeight="1" x14ac:dyDescent="0.3">
      <c r="D344" s="2"/>
      <c r="F344" s="2"/>
      <c r="G344" s="2"/>
      <c r="H344" s="2"/>
      <c r="K344" s="24"/>
    </row>
    <row r="345" spans="4:11" ht="14.25" customHeight="1" x14ac:dyDescent="0.3">
      <c r="D345" s="2"/>
      <c r="F345" s="2"/>
      <c r="G345" s="2"/>
      <c r="H345" s="2"/>
      <c r="K345" s="24"/>
    </row>
    <row r="346" spans="4:11" ht="14.25" customHeight="1" x14ac:dyDescent="0.3">
      <c r="D346" s="2"/>
      <c r="F346" s="2"/>
      <c r="G346" s="2"/>
      <c r="H346" s="2"/>
      <c r="K346" s="24"/>
    </row>
    <row r="347" spans="4:11" ht="14.25" customHeight="1" x14ac:dyDescent="0.3">
      <c r="D347" s="2"/>
      <c r="F347" s="2"/>
      <c r="G347" s="2"/>
      <c r="H347" s="2"/>
      <c r="K347" s="24"/>
    </row>
    <row r="348" spans="4:11" ht="14.25" customHeight="1" x14ac:dyDescent="0.3">
      <c r="D348" s="2"/>
      <c r="F348" s="2"/>
      <c r="G348" s="2"/>
      <c r="H348" s="2"/>
      <c r="K348" s="24"/>
    </row>
    <row r="349" spans="4:11" ht="14.25" customHeight="1" x14ac:dyDescent="0.3">
      <c r="D349" s="2"/>
      <c r="F349" s="2"/>
      <c r="G349" s="2"/>
      <c r="H349" s="2"/>
      <c r="K349" s="24"/>
    </row>
    <row r="350" spans="4:11" ht="14.25" customHeight="1" x14ac:dyDescent="0.3">
      <c r="D350" s="2"/>
      <c r="F350" s="2"/>
      <c r="G350" s="2"/>
      <c r="H350" s="2"/>
      <c r="K350" s="24"/>
    </row>
    <row r="351" spans="4:11" ht="14.25" customHeight="1" x14ac:dyDescent="0.3">
      <c r="D351" s="2"/>
      <c r="F351" s="2"/>
      <c r="G351" s="2"/>
      <c r="H351" s="2"/>
      <c r="K351" s="24"/>
    </row>
    <row r="352" spans="4:11" ht="14.25" customHeight="1" x14ac:dyDescent="0.3">
      <c r="D352" s="2"/>
      <c r="F352" s="2"/>
      <c r="G352" s="2"/>
      <c r="H352" s="2"/>
      <c r="K352" s="24"/>
    </row>
    <row r="353" spans="4:11" ht="14.25" customHeight="1" x14ac:dyDescent="0.3">
      <c r="D353" s="2"/>
      <c r="F353" s="2"/>
      <c r="G353" s="2"/>
      <c r="H353" s="2"/>
      <c r="K353" s="24"/>
    </row>
    <row r="354" spans="4:11" ht="14.25" customHeight="1" x14ac:dyDescent="0.3">
      <c r="D354" s="2"/>
      <c r="F354" s="2"/>
      <c r="G354" s="2"/>
      <c r="H354" s="2"/>
      <c r="K354" s="24"/>
    </row>
    <row r="355" spans="4:11" ht="14.25" customHeight="1" x14ac:dyDescent="0.3">
      <c r="D355" s="2"/>
      <c r="F355" s="2"/>
      <c r="G355" s="2"/>
      <c r="H355" s="2"/>
      <c r="K355" s="24"/>
    </row>
    <row r="356" spans="4:11" ht="14.25" customHeight="1" x14ac:dyDescent="0.3">
      <c r="D356" s="2"/>
      <c r="F356" s="2"/>
      <c r="G356" s="2"/>
      <c r="H356" s="2"/>
      <c r="K356" s="24"/>
    </row>
    <row r="357" spans="4:11" ht="14.25" customHeight="1" x14ac:dyDescent="0.3">
      <c r="D357" s="2"/>
      <c r="F357" s="2"/>
      <c r="G357" s="2"/>
      <c r="H357" s="2"/>
      <c r="K357" s="24"/>
    </row>
    <row r="358" spans="4:11" ht="14.25" customHeight="1" x14ac:dyDescent="0.3">
      <c r="D358" s="2"/>
      <c r="F358" s="2"/>
      <c r="G358" s="2"/>
      <c r="H358" s="2"/>
      <c r="K358" s="24"/>
    </row>
    <row r="359" spans="4:11" ht="14.25" customHeight="1" x14ac:dyDescent="0.3">
      <c r="D359" s="2"/>
      <c r="F359" s="2"/>
      <c r="G359" s="2"/>
      <c r="H359" s="2"/>
      <c r="K359" s="24"/>
    </row>
    <row r="360" spans="4:11" ht="14.25" customHeight="1" x14ac:dyDescent="0.3">
      <c r="D360" s="2"/>
      <c r="F360" s="2"/>
      <c r="G360" s="2"/>
      <c r="H360" s="2"/>
      <c r="K360" s="24"/>
    </row>
    <row r="361" spans="4:11" ht="14.25" customHeight="1" x14ac:dyDescent="0.3">
      <c r="D361" s="2"/>
      <c r="F361" s="2"/>
      <c r="G361" s="2"/>
      <c r="H361" s="2"/>
      <c r="K361" s="24"/>
    </row>
    <row r="362" spans="4:11" ht="14.25" customHeight="1" x14ac:dyDescent="0.3">
      <c r="D362" s="2"/>
      <c r="F362" s="2"/>
      <c r="G362" s="2"/>
      <c r="H362" s="2"/>
      <c r="K362" s="24"/>
    </row>
    <row r="363" spans="4:11" ht="14.25" customHeight="1" x14ac:dyDescent="0.3">
      <c r="D363" s="2"/>
      <c r="F363" s="2"/>
      <c r="G363" s="2"/>
      <c r="H363" s="2"/>
      <c r="K363" s="24"/>
    </row>
    <row r="364" spans="4:11" ht="14.25" customHeight="1" x14ac:dyDescent="0.3">
      <c r="D364" s="2"/>
      <c r="F364" s="2"/>
      <c r="G364" s="2"/>
      <c r="H364" s="2"/>
      <c r="K364" s="24"/>
    </row>
    <row r="365" spans="4:11" ht="14.25" customHeight="1" x14ac:dyDescent="0.3">
      <c r="D365" s="2"/>
      <c r="F365" s="2"/>
      <c r="G365" s="2"/>
      <c r="H365" s="2"/>
      <c r="K365" s="24"/>
    </row>
    <row r="366" spans="4:11" ht="14.25" customHeight="1" x14ac:dyDescent="0.3">
      <c r="D366" s="2"/>
      <c r="F366" s="2"/>
      <c r="G366" s="2"/>
      <c r="H366" s="2"/>
      <c r="K366" s="24"/>
    </row>
    <row r="367" spans="4:11" ht="14.25" customHeight="1" x14ac:dyDescent="0.3">
      <c r="D367" s="2"/>
      <c r="F367" s="2"/>
      <c r="G367" s="2"/>
      <c r="H367" s="2"/>
      <c r="K367" s="24"/>
    </row>
    <row r="368" spans="4:11" ht="14.25" customHeight="1" x14ac:dyDescent="0.3">
      <c r="D368" s="2"/>
      <c r="F368" s="2"/>
      <c r="G368" s="2"/>
      <c r="H368" s="2"/>
      <c r="K368" s="24"/>
    </row>
    <row r="369" spans="4:11" ht="14.25" customHeight="1" x14ac:dyDescent="0.3">
      <c r="D369" s="2"/>
      <c r="F369" s="2"/>
      <c r="G369" s="2"/>
      <c r="H369" s="2"/>
      <c r="K369" s="24"/>
    </row>
    <row r="370" spans="4:11" ht="14.25" customHeight="1" x14ac:dyDescent="0.3">
      <c r="D370" s="2"/>
      <c r="F370" s="2"/>
      <c r="G370" s="2"/>
      <c r="H370" s="2"/>
      <c r="K370" s="24"/>
    </row>
    <row r="371" spans="4:11" ht="14.25" customHeight="1" x14ac:dyDescent="0.3">
      <c r="D371" s="2"/>
      <c r="F371" s="2"/>
      <c r="G371" s="2"/>
      <c r="H371" s="2"/>
      <c r="K371" s="24"/>
    </row>
    <row r="372" spans="4:11" ht="14.25" customHeight="1" x14ac:dyDescent="0.3">
      <c r="D372" s="2"/>
      <c r="F372" s="2"/>
      <c r="G372" s="2"/>
      <c r="H372" s="2"/>
      <c r="K372" s="24"/>
    </row>
    <row r="373" spans="4:11" ht="14.25" customHeight="1" x14ac:dyDescent="0.3">
      <c r="D373" s="2"/>
      <c r="F373" s="2"/>
      <c r="G373" s="2"/>
      <c r="H373" s="2"/>
      <c r="K373" s="24"/>
    </row>
    <row r="374" spans="4:11" ht="14.25" customHeight="1" x14ac:dyDescent="0.3">
      <c r="D374" s="2"/>
      <c r="F374" s="2"/>
      <c r="G374" s="2"/>
      <c r="H374" s="2"/>
      <c r="K374" s="24"/>
    </row>
    <row r="375" spans="4:11" ht="14.25" customHeight="1" x14ac:dyDescent="0.3">
      <c r="D375" s="2"/>
      <c r="F375" s="2"/>
      <c r="G375" s="2"/>
      <c r="H375" s="2"/>
      <c r="K375" s="24"/>
    </row>
    <row r="376" spans="4:11" ht="14.25" customHeight="1" x14ac:dyDescent="0.3">
      <c r="D376" s="2"/>
      <c r="F376" s="2"/>
      <c r="G376" s="2"/>
      <c r="H376" s="2"/>
      <c r="K376" s="24"/>
    </row>
    <row r="377" spans="4:11" ht="14.25" customHeight="1" x14ac:dyDescent="0.3">
      <c r="D377" s="2"/>
      <c r="F377" s="2"/>
      <c r="G377" s="2"/>
      <c r="H377" s="2"/>
      <c r="K377" s="24"/>
    </row>
    <row r="378" spans="4:11" ht="14.25" customHeight="1" x14ac:dyDescent="0.3">
      <c r="D378" s="2"/>
      <c r="F378" s="2"/>
      <c r="G378" s="2"/>
      <c r="H378" s="2"/>
      <c r="K378" s="24"/>
    </row>
    <row r="379" spans="4:11" ht="14.25" customHeight="1" x14ac:dyDescent="0.3">
      <c r="D379" s="2"/>
      <c r="F379" s="2"/>
      <c r="G379" s="2"/>
      <c r="H379" s="2"/>
      <c r="K379" s="24"/>
    </row>
    <row r="380" spans="4:11" ht="14.25" customHeight="1" x14ac:dyDescent="0.3">
      <c r="D380" s="2"/>
      <c r="F380" s="2"/>
      <c r="G380" s="2"/>
      <c r="H380" s="2"/>
      <c r="K380" s="24"/>
    </row>
    <row r="381" spans="4:11" ht="14.25" customHeight="1" x14ac:dyDescent="0.3">
      <c r="D381" s="2"/>
      <c r="F381" s="2"/>
      <c r="G381" s="2"/>
      <c r="H381" s="2"/>
      <c r="K381" s="24"/>
    </row>
    <row r="382" spans="4:11" ht="14.25" customHeight="1" x14ac:dyDescent="0.3">
      <c r="D382" s="2"/>
      <c r="F382" s="2"/>
      <c r="G382" s="2"/>
      <c r="H382" s="2"/>
      <c r="K382" s="24"/>
    </row>
    <row r="383" spans="4:11" ht="14.25" customHeight="1" x14ac:dyDescent="0.3">
      <c r="D383" s="2"/>
      <c r="F383" s="2"/>
      <c r="G383" s="2"/>
      <c r="H383" s="2"/>
      <c r="K383" s="24"/>
    </row>
    <row r="384" spans="4:11" ht="14.25" customHeight="1" x14ac:dyDescent="0.3">
      <c r="D384" s="2"/>
      <c r="F384" s="2"/>
      <c r="G384" s="2"/>
      <c r="H384" s="2"/>
      <c r="K384" s="24"/>
    </row>
    <row r="385" spans="4:11" ht="14.25" customHeight="1" x14ac:dyDescent="0.3">
      <c r="D385" s="2"/>
      <c r="F385" s="2"/>
      <c r="G385" s="2"/>
      <c r="H385" s="2"/>
      <c r="K385" s="24"/>
    </row>
    <row r="386" spans="4:11" ht="14.25" customHeight="1" x14ac:dyDescent="0.3">
      <c r="D386" s="2"/>
      <c r="F386" s="2"/>
      <c r="G386" s="2"/>
      <c r="H386" s="2"/>
      <c r="K386" s="24"/>
    </row>
    <row r="387" spans="4:11" ht="14.25" customHeight="1" x14ac:dyDescent="0.3">
      <c r="D387" s="2"/>
      <c r="F387" s="2"/>
      <c r="G387" s="2"/>
      <c r="H387" s="2"/>
      <c r="K387" s="24"/>
    </row>
    <row r="388" spans="4:11" ht="14.25" customHeight="1" x14ac:dyDescent="0.3">
      <c r="D388" s="2"/>
      <c r="F388" s="2"/>
      <c r="G388" s="2"/>
      <c r="H388" s="2"/>
      <c r="K388" s="24"/>
    </row>
    <row r="389" spans="4:11" ht="14.25" customHeight="1" x14ac:dyDescent="0.3">
      <c r="D389" s="2"/>
      <c r="F389" s="2"/>
      <c r="G389" s="2"/>
      <c r="H389" s="2"/>
      <c r="K389" s="24"/>
    </row>
    <row r="390" spans="4:11" ht="14.25" customHeight="1" x14ac:dyDescent="0.3">
      <c r="D390" s="2"/>
      <c r="F390" s="2"/>
      <c r="G390" s="2"/>
      <c r="H390" s="2"/>
      <c r="K390" s="24"/>
    </row>
    <row r="391" spans="4:11" ht="14.25" customHeight="1" x14ac:dyDescent="0.3">
      <c r="D391" s="2"/>
      <c r="F391" s="2"/>
      <c r="G391" s="2"/>
      <c r="H391" s="2"/>
      <c r="K391" s="24"/>
    </row>
    <row r="392" spans="4:11" ht="14.25" customHeight="1" x14ac:dyDescent="0.3">
      <c r="D392" s="2"/>
      <c r="F392" s="2"/>
      <c r="G392" s="2"/>
      <c r="H392" s="2"/>
      <c r="K392" s="24"/>
    </row>
    <row r="393" spans="4:11" ht="14.25" customHeight="1" x14ac:dyDescent="0.3">
      <c r="D393" s="2"/>
      <c r="F393" s="2"/>
      <c r="G393" s="2"/>
      <c r="H393" s="2"/>
      <c r="K393" s="24"/>
    </row>
    <row r="394" spans="4:11" ht="14.25" customHeight="1" x14ac:dyDescent="0.3">
      <c r="D394" s="2"/>
      <c r="F394" s="2"/>
      <c r="G394" s="2"/>
      <c r="H394" s="2"/>
      <c r="K394" s="24"/>
    </row>
    <row r="395" spans="4:11" ht="14.25" customHeight="1" x14ac:dyDescent="0.3">
      <c r="D395" s="2"/>
      <c r="F395" s="2"/>
      <c r="G395" s="2"/>
      <c r="H395" s="2"/>
      <c r="K395" s="24"/>
    </row>
    <row r="396" spans="4:11" ht="14.25" customHeight="1" x14ac:dyDescent="0.3">
      <c r="D396" s="2"/>
      <c r="F396" s="2"/>
      <c r="G396" s="2"/>
      <c r="H396" s="2"/>
      <c r="K396" s="24"/>
    </row>
    <row r="397" spans="4:11" ht="14.25" customHeight="1" x14ac:dyDescent="0.3">
      <c r="D397" s="2"/>
      <c r="F397" s="2"/>
      <c r="G397" s="2"/>
      <c r="H397" s="2"/>
      <c r="K397" s="24"/>
    </row>
    <row r="398" spans="4:11" ht="14.25" customHeight="1" x14ac:dyDescent="0.3">
      <c r="D398" s="2"/>
      <c r="F398" s="2"/>
      <c r="G398" s="2"/>
      <c r="H398" s="2"/>
      <c r="K398" s="24"/>
    </row>
    <row r="399" spans="4:11" ht="14.25" customHeight="1" x14ac:dyDescent="0.3">
      <c r="D399" s="2"/>
      <c r="F399" s="2"/>
      <c r="G399" s="2"/>
      <c r="H399" s="2"/>
      <c r="K399" s="24"/>
    </row>
    <row r="400" spans="4:11" ht="14.25" customHeight="1" x14ac:dyDescent="0.3">
      <c r="D400" s="2"/>
      <c r="F400" s="2"/>
      <c r="G400" s="2"/>
      <c r="H400" s="2"/>
      <c r="K400" s="24"/>
    </row>
    <row r="401" spans="4:11" ht="14.25" customHeight="1" x14ac:dyDescent="0.3">
      <c r="D401" s="2"/>
      <c r="F401" s="2"/>
      <c r="G401" s="2"/>
      <c r="H401" s="2"/>
      <c r="K401" s="24"/>
    </row>
    <row r="402" spans="4:11" ht="14.25" customHeight="1" x14ac:dyDescent="0.3">
      <c r="D402" s="2"/>
      <c r="F402" s="2"/>
      <c r="G402" s="2"/>
      <c r="H402" s="2"/>
      <c r="K402" s="24"/>
    </row>
    <row r="403" spans="4:11" ht="14.25" customHeight="1" x14ac:dyDescent="0.3">
      <c r="D403" s="2"/>
      <c r="F403" s="2"/>
      <c r="G403" s="2"/>
      <c r="H403" s="2"/>
      <c r="K403" s="24"/>
    </row>
    <row r="404" spans="4:11" ht="14.25" customHeight="1" x14ac:dyDescent="0.3">
      <c r="D404" s="2"/>
      <c r="F404" s="2"/>
      <c r="G404" s="2"/>
      <c r="H404" s="2"/>
      <c r="K404" s="24"/>
    </row>
    <row r="405" spans="4:11" ht="14.25" customHeight="1" x14ac:dyDescent="0.3">
      <c r="D405" s="2"/>
      <c r="F405" s="2"/>
      <c r="G405" s="2"/>
      <c r="H405" s="2"/>
      <c r="K405" s="24"/>
    </row>
    <row r="406" spans="4:11" ht="14.25" customHeight="1" x14ac:dyDescent="0.3">
      <c r="D406" s="2"/>
      <c r="F406" s="2"/>
      <c r="G406" s="2"/>
      <c r="H406" s="2"/>
      <c r="K406" s="24"/>
    </row>
    <row r="407" spans="4:11" ht="14.25" customHeight="1" x14ac:dyDescent="0.3">
      <c r="D407" s="2"/>
      <c r="F407" s="2"/>
      <c r="G407" s="2"/>
      <c r="H407" s="2"/>
      <c r="K407" s="24"/>
    </row>
    <row r="408" spans="4:11" ht="14.25" customHeight="1" x14ac:dyDescent="0.3">
      <c r="D408" s="2"/>
      <c r="F408" s="2"/>
      <c r="G408" s="2"/>
      <c r="H408" s="2"/>
      <c r="K408" s="24"/>
    </row>
    <row r="409" spans="4:11" ht="14.25" customHeight="1" x14ac:dyDescent="0.3">
      <c r="D409" s="2"/>
      <c r="F409" s="2"/>
      <c r="G409" s="2"/>
      <c r="H409" s="2"/>
      <c r="K409" s="24"/>
    </row>
    <row r="410" spans="4:11" ht="14.25" customHeight="1" x14ac:dyDescent="0.3">
      <c r="D410" s="2"/>
      <c r="F410" s="2"/>
      <c r="G410" s="2"/>
      <c r="H410" s="2"/>
      <c r="K410" s="24"/>
    </row>
    <row r="411" spans="4:11" ht="14.25" customHeight="1" x14ac:dyDescent="0.3">
      <c r="D411" s="2"/>
      <c r="F411" s="2"/>
      <c r="G411" s="2"/>
      <c r="H411" s="2"/>
      <c r="K411" s="24"/>
    </row>
    <row r="412" spans="4:11" ht="14.25" customHeight="1" x14ac:dyDescent="0.3">
      <c r="D412" s="2"/>
      <c r="F412" s="2"/>
      <c r="G412" s="2"/>
      <c r="H412" s="2"/>
      <c r="K412" s="24"/>
    </row>
    <row r="413" spans="4:11" ht="14.25" customHeight="1" x14ac:dyDescent="0.3">
      <c r="D413" s="2"/>
      <c r="F413" s="2"/>
      <c r="G413" s="2"/>
      <c r="H413" s="2"/>
      <c r="K413" s="24"/>
    </row>
    <row r="414" spans="4:11" ht="14.25" customHeight="1" x14ac:dyDescent="0.3">
      <c r="D414" s="2"/>
      <c r="F414" s="2"/>
      <c r="G414" s="2"/>
      <c r="H414" s="2"/>
      <c r="K414" s="24"/>
    </row>
    <row r="415" spans="4:11" ht="14.25" customHeight="1" x14ac:dyDescent="0.3">
      <c r="D415" s="2"/>
      <c r="F415" s="2"/>
      <c r="G415" s="2"/>
      <c r="H415" s="2"/>
      <c r="K415" s="24"/>
    </row>
    <row r="416" spans="4:11" ht="14.25" customHeight="1" x14ac:dyDescent="0.3">
      <c r="D416" s="2"/>
      <c r="F416" s="2"/>
      <c r="G416" s="2"/>
      <c r="H416" s="2"/>
      <c r="K416" s="24"/>
    </row>
    <row r="417" spans="4:11" ht="14.25" customHeight="1" x14ac:dyDescent="0.3">
      <c r="D417" s="2"/>
      <c r="F417" s="2"/>
      <c r="G417" s="2"/>
      <c r="H417" s="2"/>
      <c r="K417" s="24"/>
    </row>
    <row r="418" spans="4:11" ht="14.25" customHeight="1" x14ac:dyDescent="0.3">
      <c r="D418" s="2"/>
      <c r="F418" s="2"/>
      <c r="G418" s="2"/>
      <c r="H418" s="2"/>
      <c r="K418" s="24"/>
    </row>
    <row r="419" spans="4:11" ht="14.25" customHeight="1" x14ac:dyDescent="0.3">
      <c r="D419" s="2"/>
      <c r="F419" s="2"/>
      <c r="G419" s="2"/>
      <c r="H419" s="2"/>
      <c r="K419" s="24"/>
    </row>
    <row r="420" spans="4:11" ht="14.25" customHeight="1" x14ac:dyDescent="0.3">
      <c r="D420" s="2"/>
      <c r="F420" s="2"/>
      <c r="G420" s="2"/>
      <c r="H420" s="2"/>
      <c r="K420" s="24"/>
    </row>
    <row r="421" spans="4:11" ht="14.25" customHeight="1" x14ac:dyDescent="0.3">
      <c r="D421" s="2"/>
      <c r="F421" s="2"/>
      <c r="G421" s="2"/>
      <c r="H421" s="2"/>
      <c r="K421" s="24"/>
    </row>
    <row r="422" spans="4:11" ht="14.25" customHeight="1" x14ac:dyDescent="0.3">
      <c r="D422" s="2"/>
      <c r="F422" s="2"/>
      <c r="G422" s="2"/>
      <c r="H422" s="2"/>
      <c r="K422" s="24"/>
    </row>
    <row r="423" spans="4:11" ht="14.25" customHeight="1" x14ac:dyDescent="0.3">
      <c r="D423" s="2"/>
      <c r="F423" s="2"/>
      <c r="G423" s="2"/>
      <c r="H423" s="2"/>
      <c r="K423" s="24"/>
    </row>
    <row r="424" spans="4:11" ht="14.25" customHeight="1" x14ac:dyDescent="0.3">
      <c r="D424" s="2"/>
      <c r="F424" s="2"/>
      <c r="G424" s="2"/>
      <c r="H424" s="2"/>
      <c r="K424" s="24"/>
    </row>
    <row r="425" spans="4:11" ht="14.25" customHeight="1" x14ac:dyDescent="0.3">
      <c r="D425" s="2"/>
      <c r="F425" s="2"/>
      <c r="G425" s="2"/>
      <c r="H425" s="2"/>
      <c r="K425" s="24"/>
    </row>
    <row r="426" spans="4:11" ht="14.25" customHeight="1" x14ac:dyDescent="0.3">
      <c r="D426" s="2"/>
      <c r="F426" s="2"/>
      <c r="G426" s="2"/>
      <c r="H426" s="2"/>
      <c r="K426" s="24"/>
    </row>
    <row r="427" spans="4:11" ht="14.25" customHeight="1" x14ac:dyDescent="0.3">
      <c r="D427" s="2"/>
      <c r="F427" s="2"/>
      <c r="G427" s="2"/>
      <c r="H427" s="2"/>
      <c r="K427" s="24"/>
    </row>
    <row r="428" spans="4:11" ht="14.25" customHeight="1" x14ac:dyDescent="0.3">
      <c r="D428" s="2"/>
      <c r="F428" s="2"/>
      <c r="G428" s="2"/>
      <c r="H428" s="2"/>
      <c r="K428" s="24"/>
    </row>
    <row r="429" spans="4:11" ht="14.25" customHeight="1" x14ac:dyDescent="0.3">
      <c r="D429" s="2"/>
      <c r="F429" s="2"/>
      <c r="G429" s="2"/>
      <c r="H429" s="2"/>
      <c r="K429" s="24"/>
    </row>
    <row r="430" spans="4:11" ht="14.25" customHeight="1" x14ac:dyDescent="0.3">
      <c r="D430" s="2"/>
      <c r="F430" s="2"/>
      <c r="G430" s="2"/>
      <c r="H430" s="2"/>
      <c r="K430" s="24"/>
    </row>
    <row r="431" spans="4:11" ht="14.25" customHeight="1" x14ac:dyDescent="0.3">
      <c r="D431" s="2"/>
      <c r="F431" s="2"/>
      <c r="G431" s="2"/>
      <c r="H431" s="2"/>
      <c r="K431" s="24"/>
    </row>
    <row r="432" spans="4:11" ht="14.25" customHeight="1" x14ac:dyDescent="0.3">
      <c r="D432" s="2"/>
      <c r="F432" s="2"/>
      <c r="G432" s="2"/>
      <c r="H432" s="2"/>
      <c r="K432" s="24"/>
    </row>
    <row r="433" spans="4:11" ht="14.25" customHeight="1" x14ac:dyDescent="0.3">
      <c r="D433" s="2"/>
      <c r="F433" s="2"/>
      <c r="G433" s="2"/>
      <c r="H433" s="2"/>
      <c r="K433" s="24"/>
    </row>
    <row r="434" spans="4:11" ht="14.25" customHeight="1" x14ac:dyDescent="0.3">
      <c r="D434" s="2"/>
      <c r="F434" s="2"/>
      <c r="G434" s="2"/>
      <c r="H434" s="2"/>
      <c r="K434" s="24"/>
    </row>
    <row r="435" spans="4:11" ht="14.25" customHeight="1" x14ac:dyDescent="0.3">
      <c r="D435" s="2"/>
      <c r="F435" s="2"/>
      <c r="G435" s="2"/>
      <c r="H435" s="2"/>
      <c r="K435" s="24"/>
    </row>
    <row r="436" spans="4:11" ht="14.25" customHeight="1" x14ac:dyDescent="0.3">
      <c r="D436" s="2"/>
      <c r="F436" s="2"/>
      <c r="G436" s="2"/>
      <c r="H436" s="2"/>
      <c r="K436" s="24"/>
    </row>
    <row r="437" spans="4:11" ht="14.25" customHeight="1" x14ac:dyDescent="0.3">
      <c r="D437" s="2"/>
      <c r="F437" s="2"/>
      <c r="G437" s="2"/>
      <c r="H437" s="2"/>
      <c r="K437" s="24"/>
    </row>
    <row r="438" spans="4:11" ht="14.25" customHeight="1" x14ac:dyDescent="0.3">
      <c r="D438" s="2"/>
      <c r="F438" s="2"/>
      <c r="G438" s="2"/>
      <c r="H438" s="2"/>
      <c r="K438" s="24"/>
    </row>
    <row r="439" spans="4:11" ht="14.25" customHeight="1" x14ac:dyDescent="0.3">
      <c r="D439" s="2"/>
      <c r="F439" s="2"/>
      <c r="G439" s="2"/>
      <c r="H439" s="2"/>
      <c r="K439" s="24"/>
    </row>
    <row r="440" spans="4:11" ht="14.25" customHeight="1" x14ac:dyDescent="0.3">
      <c r="D440" s="2"/>
      <c r="F440" s="2"/>
      <c r="G440" s="2"/>
      <c r="H440" s="2"/>
      <c r="K440" s="24"/>
    </row>
    <row r="441" spans="4:11" ht="14.25" customHeight="1" x14ac:dyDescent="0.3">
      <c r="D441" s="2"/>
      <c r="F441" s="2"/>
      <c r="G441" s="2"/>
      <c r="H441" s="2"/>
      <c r="K441" s="24"/>
    </row>
    <row r="442" spans="4:11" ht="14.25" customHeight="1" x14ac:dyDescent="0.3">
      <c r="D442" s="2"/>
      <c r="F442" s="2"/>
      <c r="G442" s="2"/>
      <c r="H442" s="2"/>
      <c r="K442" s="24"/>
    </row>
    <row r="443" spans="4:11" ht="14.25" customHeight="1" x14ac:dyDescent="0.3">
      <c r="D443" s="2"/>
      <c r="F443" s="2"/>
      <c r="G443" s="2"/>
      <c r="H443" s="2"/>
      <c r="K443" s="24"/>
    </row>
    <row r="444" spans="4:11" ht="14.25" customHeight="1" x14ac:dyDescent="0.3">
      <c r="D444" s="2"/>
      <c r="F444" s="2"/>
      <c r="G444" s="2"/>
      <c r="H444" s="2"/>
      <c r="K444" s="24"/>
    </row>
    <row r="445" spans="4:11" ht="14.25" customHeight="1" x14ac:dyDescent="0.3">
      <c r="D445" s="2"/>
      <c r="F445" s="2"/>
      <c r="G445" s="2"/>
      <c r="H445" s="2"/>
      <c r="K445" s="24"/>
    </row>
    <row r="446" spans="4:11" ht="14.25" customHeight="1" x14ac:dyDescent="0.3">
      <c r="D446" s="2"/>
      <c r="F446" s="2"/>
      <c r="G446" s="2"/>
      <c r="H446" s="2"/>
      <c r="K446" s="24"/>
    </row>
    <row r="447" spans="4:11" ht="14.25" customHeight="1" x14ac:dyDescent="0.3">
      <c r="D447" s="2"/>
      <c r="F447" s="2"/>
      <c r="G447" s="2"/>
      <c r="H447" s="2"/>
      <c r="K447" s="24"/>
    </row>
    <row r="448" spans="4:11" ht="14.25" customHeight="1" x14ac:dyDescent="0.3">
      <c r="D448" s="2"/>
      <c r="F448" s="2"/>
      <c r="G448" s="2"/>
      <c r="H448" s="2"/>
      <c r="K448" s="24"/>
    </row>
    <row r="449" spans="4:11" ht="14.25" customHeight="1" x14ac:dyDescent="0.3">
      <c r="D449" s="2"/>
      <c r="F449" s="2"/>
      <c r="G449" s="2"/>
      <c r="H449" s="2"/>
      <c r="K449" s="24"/>
    </row>
    <row r="450" spans="4:11" ht="14.25" customHeight="1" x14ac:dyDescent="0.3">
      <c r="D450" s="2"/>
      <c r="F450" s="2"/>
      <c r="G450" s="2"/>
      <c r="H450" s="2"/>
      <c r="K450" s="24"/>
    </row>
    <row r="451" spans="4:11" ht="14.25" customHeight="1" x14ac:dyDescent="0.3">
      <c r="D451" s="2"/>
      <c r="F451" s="2"/>
      <c r="G451" s="2"/>
      <c r="H451" s="2"/>
      <c r="K451" s="24"/>
    </row>
    <row r="452" spans="4:11" ht="14.25" customHeight="1" x14ac:dyDescent="0.3">
      <c r="D452" s="2"/>
      <c r="F452" s="2"/>
      <c r="G452" s="2"/>
      <c r="H452" s="2"/>
      <c r="K452" s="24"/>
    </row>
    <row r="453" spans="4:11" ht="14.25" customHeight="1" x14ac:dyDescent="0.3">
      <c r="D453" s="2"/>
      <c r="F453" s="2"/>
      <c r="G453" s="2"/>
      <c r="H453" s="2"/>
      <c r="K453" s="24"/>
    </row>
    <row r="454" spans="4:11" ht="14.25" customHeight="1" x14ac:dyDescent="0.3">
      <c r="D454" s="2"/>
      <c r="F454" s="2"/>
      <c r="G454" s="2"/>
      <c r="H454" s="2"/>
      <c r="K454" s="24"/>
    </row>
    <row r="455" spans="4:11" ht="14.25" customHeight="1" x14ac:dyDescent="0.3">
      <c r="D455" s="2"/>
      <c r="F455" s="2"/>
      <c r="G455" s="2"/>
      <c r="H455" s="2"/>
      <c r="K455" s="24"/>
    </row>
    <row r="456" spans="4:11" ht="14.25" customHeight="1" x14ac:dyDescent="0.3">
      <c r="D456" s="2"/>
      <c r="F456" s="2"/>
      <c r="G456" s="2"/>
      <c r="H456" s="2"/>
      <c r="K456" s="24"/>
    </row>
    <row r="457" spans="4:11" ht="14.25" customHeight="1" x14ac:dyDescent="0.3">
      <c r="D457" s="2"/>
      <c r="F457" s="2"/>
      <c r="G457" s="2"/>
      <c r="H457" s="2"/>
      <c r="K457" s="24"/>
    </row>
    <row r="458" spans="4:11" ht="14.25" customHeight="1" x14ac:dyDescent="0.3">
      <c r="D458" s="2"/>
      <c r="F458" s="2"/>
      <c r="G458" s="2"/>
      <c r="H458" s="2"/>
      <c r="K458" s="24"/>
    </row>
    <row r="459" spans="4:11" ht="14.25" customHeight="1" x14ac:dyDescent="0.3">
      <c r="D459" s="2"/>
      <c r="F459" s="2"/>
      <c r="G459" s="2"/>
      <c r="H459" s="2"/>
      <c r="K459" s="24"/>
    </row>
    <row r="460" spans="4:11" ht="14.25" customHeight="1" x14ac:dyDescent="0.3">
      <c r="D460" s="2"/>
      <c r="F460" s="2"/>
      <c r="G460" s="2"/>
      <c r="H460" s="2"/>
      <c r="K460" s="24"/>
    </row>
    <row r="461" spans="4:11" ht="14.25" customHeight="1" x14ac:dyDescent="0.3">
      <c r="D461" s="2"/>
      <c r="F461" s="2"/>
      <c r="G461" s="2"/>
      <c r="H461" s="2"/>
      <c r="K461" s="24"/>
    </row>
    <row r="462" spans="4:11" ht="14.25" customHeight="1" x14ac:dyDescent="0.3">
      <c r="D462" s="2"/>
      <c r="F462" s="2"/>
      <c r="G462" s="2"/>
      <c r="H462" s="2"/>
      <c r="K462" s="24"/>
    </row>
    <row r="463" spans="4:11" ht="14.25" customHeight="1" x14ac:dyDescent="0.3">
      <c r="D463" s="2"/>
      <c r="F463" s="2"/>
      <c r="G463" s="2"/>
      <c r="H463" s="2"/>
      <c r="K463" s="24"/>
    </row>
    <row r="464" spans="4:11" ht="14.25" customHeight="1" x14ac:dyDescent="0.3">
      <c r="D464" s="2"/>
      <c r="F464" s="2"/>
      <c r="G464" s="2"/>
      <c r="H464" s="2"/>
      <c r="K464" s="24"/>
    </row>
    <row r="465" spans="4:11" ht="14.25" customHeight="1" x14ac:dyDescent="0.3">
      <c r="D465" s="2"/>
      <c r="F465" s="2"/>
      <c r="G465" s="2"/>
      <c r="H465" s="2"/>
      <c r="K465" s="24"/>
    </row>
    <row r="466" spans="4:11" ht="14.25" customHeight="1" x14ac:dyDescent="0.3">
      <c r="D466" s="2"/>
      <c r="F466" s="2"/>
      <c r="G466" s="2"/>
      <c r="H466" s="2"/>
      <c r="K466" s="24"/>
    </row>
    <row r="467" spans="4:11" ht="14.25" customHeight="1" x14ac:dyDescent="0.3">
      <c r="D467" s="2"/>
      <c r="F467" s="2"/>
      <c r="G467" s="2"/>
      <c r="H467" s="2"/>
      <c r="K467" s="24"/>
    </row>
    <row r="468" spans="4:11" ht="14.25" customHeight="1" x14ac:dyDescent="0.3">
      <c r="D468" s="2"/>
      <c r="F468" s="2"/>
      <c r="G468" s="2"/>
      <c r="H468" s="2"/>
      <c r="K468" s="24"/>
    </row>
    <row r="469" spans="4:11" ht="14.25" customHeight="1" x14ac:dyDescent="0.3">
      <c r="D469" s="2"/>
      <c r="F469" s="2"/>
      <c r="G469" s="2"/>
      <c r="H469" s="2"/>
      <c r="K469" s="24"/>
    </row>
    <row r="470" spans="4:11" ht="14.25" customHeight="1" x14ac:dyDescent="0.3">
      <c r="D470" s="2"/>
      <c r="F470" s="2"/>
      <c r="G470" s="2"/>
      <c r="H470" s="2"/>
      <c r="K470" s="24"/>
    </row>
    <row r="471" spans="4:11" ht="14.25" customHeight="1" x14ac:dyDescent="0.3">
      <c r="D471" s="2"/>
      <c r="F471" s="2"/>
      <c r="G471" s="2"/>
      <c r="H471" s="2"/>
      <c r="K471" s="24"/>
    </row>
    <row r="472" spans="4:11" ht="14.25" customHeight="1" x14ac:dyDescent="0.3">
      <c r="D472" s="2"/>
      <c r="F472" s="2"/>
      <c r="G472" s="2"/>
      <c r="H472" s="2"/>
      <c r="K472" s="24"/>
    </row>
    <row r="473" spans="4:11" ht="14.25" customHeight="1" x14ac:dyDescent="0.3">
      <c r="D473" s="2"/>
      <c r="F473" s="2"/>
      <c r="G473" s="2"/>
      <c r="H473" s="2"/>
      <c r="K473" s="24"/>
    </row>
    <row r="474" spans="4:11" ht="14.25" customHeight="1" x14ac:dyDescent="0.3">
      <c r="D474" s="2"/>
      <c r="F474" s="2"/>
      <c r="G474" s="2"/>
      <c r="H474" s="2"/>
      <c r="K474" s="24"/>
    </row>
    <row r="475" spans="4:11" ht="14.25" customHeight="1" x14ac:dyDescent="0.3">
      <c r="D475" s="2"/>
      <c r="F475" s="2"/>
      <c r="G475" s="2"/>
      <c r="H475" s="2"/>
      <c r="K475" s="24"/>
    </row>
    <row r="476" spans="4:11" ht="14.25" customHeight="1" x14ac:dyDescent="0.3">
      <c r="D476" s="2"/>
      <c r="F476" s="2"/>
      <c r="G476" s="2"/>
      <c r="H476" s="2"/>
      <c r="K476" s="24"/>
    </row>
    <row r="477" spans="4:11" ht="14.25" customHeight="1" x14ac:dyDescent="0.3">
      <c r="D477" s="2"/>
      <c r="F477" s="2"/>
      <c r="G477" s="2"/>
      <c r="H477" s="2"/>
      <c r="K477" s="24"/>
    </row>
    <row r="478" spans="4:11" ht="14.25" customHeight="1" x14ac:dyDescent="0.3">
      <c r="D478" s="2"/>
      <c r="F478" s="2"/>
      <c r="G478" s="2"/>
      <c r="H478" s="2"/>
      <c r="K478" s="24"/>
    </row>
    <row r="479" spans="4:11" ht="14.25" customHeight="1" x14ac:dyDescent="0.3">
      <c r="D479" s="2"/>
      <c r="F479" s="2"/>
      <c r="G479" s="2"/>
      <c r="H479" s="2"/>
      <c r="K479" s="24"/>
    </row>
    <row r="480" spans="4:11" ht="14.25" customHeight="1" x14ac:dyDescent="0.3">
      <c r="D480" s="2"/>
      <c r="F480" s="2"/>
      <c r="G480" s="2"/>
      <c r="H480" s="2"/>
      <c r="K480" s="24"/>
    </row>
    <row r="481" spans="4:11" ht="14.25" customHeight="1" x14ac:dyDescent="0.3">
      <c r="D481" s="2"/>
      <c r="F481" s="2"/>
      <c r="G481" s="2"/>
      <c r="H481" s="2"/>
      <c r="K481" s="24"/>
    </row>
    <row r="482" spans="4:11" ht="14.25" customHeight="1" x14ac:dyDescent="0.3">
      <c r="D482" s="2"/>
      <c r="F482" s="2"/>
      <c r="G482" s="2"/>
      <c r="H482" s="2"/>
      <c r="K482" s="24"/>
    </row>
    <row r="483" spans="4:11" ht="14.25" customHeight="1" x14ac:dyDescent="0.3">
      <c r="D483" s="2"/>
      <c r="F483" s="2"/>
      <c r="G483" s="2"/>
      <c r="H483" s="2"/>
      <c r="K483" s="24"/>
    </row>
    <row r="484" spans="4:11" ht="14.25" customHeight="1" x14ac:dyDescent="0.3">
      <c r="D484" s="2"/>
      <c r="F484" s="2"/>
      <c r="G484" s="2"/>
      <c r="H484" s="2"/>
      <c r="K484" s="24"/>
    </row>
    <row r="485" spans="4:11" ht="14.25" customHeight="1" x14ac:dyDescent="0.3">
      <c r="D485" s="2"/>
      <c r="F485" s="2"/>
      <c r="G485" s="2"/>
      <c r="H485" s="2"/>
      <c r="K485" s="24"/>
    </row>
    <row r="486" spans="4:11" ht="14.25" customHeight="1" x14ac:dyDescent="0.3">
      <c r="D486" s="2"/>
      <c r="F486" s="2"/>
      <c r="G486" s="2"/>
      <c r="H486" s="2"/>
      <c r="K486" s="24"/>
    </row>
    <row r="487" spans="4:11" ht="14.25" customHeight="1" x14ac:dyDescent="0.3">
      <c r="D487" s="2"/>
      <c r="F487" s="2"/>
      <c r="G487" s="2"/>
      <c r="H487" s="2"/>
      <c r="K487" s="24"/>
    </row>
    <row r="488" spans="4:11" ht="14.25" customHeight="1" x14ac:dyDescent="0.3">
      <c r="D488" s="2"/>
      <c r="F488" s="2"/>
      <c r="G488" s="2"/>
      <c r="H488" s="2"/>
      <c r="K488" s="24"/>
    </row>
    <row r="489" spans="4:11" ht="14.25" customHeight="1" x14ac:dyDescent="0.3">
      <c r="D489" s="2"/>
      <c r="F489" s="2"/>
      <c r="G489" s="2"/>
      <c r="H489" s="2"/>
      <c r="K489" s="24"/>
    </row>
    <row r="490" spans="4:11" ht="14.25" customHeight="1" x14ac:dyDescent="0.3">
      <c r="D490" s="2"/>
      <c r="F490" s="2"/>
      <c r="G490" s="2"/>
      <c r="H490" s="2"/>
      <c r="K490" s="24"/>
    </row>
    <row r="491" spans="4:11" ht="14.25" customHeight="1" x14ac:dyDescent="0.3">
      <c r="D491" s="2"/>
      <c r="F491" s="2"/>
      <c r="G491" s="2"/>
      <c r="H491" s="2"/>
      <c r="K491" s="24"/>
    </row>
    <row r="492" spans="4:11" ht="14.25" customHeight="1" x14ac:dyDescent="0.3">
      <c r="D492" s="2"/>
      <c r="F492" s="2"/>
      <c r="G492" s="2"/>
      <c r="H492" s="2"/>
      <c r="K492" s="24"/>
    </row>
    <row r="493" spans="4:11" ht="14.25" customHeight="1" x14ac:dyDescent="0.3">
      <c r="D493" s="2"/>
      <c r="F493" s="2"/>
      <c r="G493" s="2"/>
      <c r="H493" s="2"/>
      <c r="K493" s="24"/>
    </row>
    <row r="494" spans="4:11" ht="14.25" customHeight="1" x14ac:dyDescent="0.3">
      <c r="D494" s="2"/>
      <c r="F494" s="2"/>
      <c r="G494" s="2"/>
      <c r="H494" s="2"/>
      <c r="K494" s="24"/>
    </row>
    <row r="495" spans="4:11" ht="14.25" customHeight="1" x14ac:dyDescent="0.3">
      <c r="D495" s="2"/>
      <c r="F495" s="2"/>
      <c r="G495" s="2"/>
      <c r="H495" s="2"/>
      <c r="K495" s="24"/>
    </row>
    <row r="496" spans="4:11" ht="14.25" customHeight="1" x14ac:dyDescent="0.3">
      <c r="D496" s="2"/>
      <c r="F496" s="2"/>
      <c r="G496" s="2"/>
      <c r="H496" s="2"/>
      <c r="K496" s="24"/>
    </row>
    <row r="497" spans="4:11" ht="14.25" customHeight="1" x14ac:dyDescent="0.3">
      <c r="D497" s="2"/>
      <c r="F497" s="2"/>
      <c r="G497" s="2"/>
      <c r="H497" s="2"/>
      <c r="K497" s="24"/>
    </row>
    <row r="498" spans="4:11" ht="14.25" customHeight="1" x14ac:dyDescent="0.3">
      <c r="D498" s="2"/>
      <c r="F498" s="2"/>
      <c r="G498" s="2"/>
      <c r="H498" s="2"/>
      <c r="K498" s="24"/>
    </row>
    <row r="499" spans="4:11" ht="14.25" customHeight="1" x14ac:dyDescent="0.3">
      <c r="D499" s="2"/>
      <c r="F499" s="2"/>
      <c r="G499" s="2"/>
      <c r="H499" s="2"/>
      <c r="K499" s="24"/>
    </row>
    <row r="500" spans="4:11" ht="14.25" customHeight="1" x14ac:dyDescent="0.3">
      <c r="D500" s="2"/>
      <c r="F500" s="2"/>
      <c r="G500" s="2"/>
      <c r="H500" s="2"/>
      <c r="K500" s="24"/>
    </row>
    <row r="501" spans="4:11" ht="14.25" customHeight="1" x14ac:dyDescent="0.3">
      <c r="D501" s="2"/>
      <c r="F501" s="2"/>
      <c r="G501" s="2"/>
      <c r="H501" s="2"/>
      <c r="K501" s="24"/>
    </row>
    <row r="502" spans="4:11" ht="14.25" customHeight="1" x14ac:dyDescent="0.3">
      <c r="D502" s="2"/>
      <c r="F502" s="2"/>
      <c r="G502" s="2"/>
      <c r="H502" s="2"/>
      <c r="K502" s="24"/>
    </row>
    <row r="503" spans="4:11" ht="14.25" customHeight="1" x14ac:dyDescent="0.3">
      <c r="D503" s="2"/>
      <c r="F503" s="2"/>
      <c r="G503" s="2"/>
      <c r="H503" s="2"/>
      <c r="K503" s="24"/>
    </row>
    <row r="504" spans="4:11" ht="14.25" customHeight="1" x14ac:dyDescent="0.3">
      <c r="D504" s="2"/>
      <c r="F504" s="2"/>
      <c r="G504" s="2"/>
      <c r="H504" s="2"/>
      <c r="K504" s="24"/>
    </row>
    <row r="505" spans="4:11" ht="14.25" customHeight="1" x14ac:dyDescent="0.3">
      <c r="D505" s="2"/>
      <c r="F505" s="2"/>
      <c r="G505" s="2"/>
      <c r="H505" s="2"/>
      <c r="K505" s="24"/>
    </row>
    <row r="506" spans="4:11" ht="14.25" customHeight="1" x14ac:dyDescent="0.3">
      <c r="D506" s="2"/>
      <c r="F506" s="2"/>
      <c r="G506" s="2"/>
      <c r="H506" s="2"/>
      <c r="K506" s="24"/>
    </row>
    <row r="507" spans="4:11" ht="14.25" customHeight="1" x14ac:dyDescent="0.3">
      <c r="D507" s="2"/>
      <c r="F507" s="2"/>
      <c r="G507" s="2"/>
      <c r="H507" s="2"/>
      <c r="K507" s="24"/>
    </row>
    <row r="508" spans="4:11" ht="14.25" customHeight="1" x14ac:dyDescent="0.3">
      <c r="D508" s="2"/>
      <c r="F508" s="2"/>
      <c r="G508" s="2"/>
      <c r="H508" s="2"/>
      <c r="K508" s="24"/>
    </row>
    <row r="509" spans="4:11" ht="14.25" customHeight="1" x14ac:dyDescent="0.3">
      <c r="D509" s="2"/>
      <c r="F509" s="2"/>
      <c r="G509" s="2"/>
      <c r="H509" s="2"/>
      <c r="K509" s="24"/>
    </row>
    <row r="510" spans="4:11" ht="14.25" customHeight="1" x14ac:dyDescent="0.3">
      <c r="D510" s="2"/>
      <c r="F510" s="2"/>
      <c r="G510" s="2"/>
      <c r="H510" s="2"/>
      <c r="K510" s="24"/>
    </row>
    <row r="511" spans="4:11" ht="14.25" customHeight="1" x14ac:dyDescent="0.3">
      <c r="D511" s="2"/>
      <c r="F511" s="2"/>
      <c r="G511" s="2"/>
      <c r="H511" s="2"/>
      <c r="K511" s="24"/>
    </row>
    <row r="512" spans="4:11" ht="14.25" customHeight="1" x14ac:dyDescent="0.3">
      <c r="D512" s="2"/>
      <c r="F512" s="2"/>
      <c r="G512" s="2"/>
      <c r="H512" s="2"/>
      <c r="K512" s="24"/>
    </row>
    <row r="513" spans="4:11" ht="14.25" customHeight="1" x14ac:dyDescent="0.3">
      <c r="D513" s="2"/>
      <c r="F513" s="2"/>
      <c r="G513" s="2"/>
      <c r="H513" s="2"/>
      <c r="K513" s="24"/>
    </row>
    <row r="514" spans="4:11" ht="14.25" customHeight="1" x14ac:dyDescent="0.3">
      <c r="D514" s="2"/>
      <c r="F514" s="2"/>
      <c r="G514" s="2"/>
      <c r="H514" s="2"/>
      <c r="K514" s="24"/>
    </row>
    <row r="515" spans="4:11" ht="14.25" customHeight="1" x14ac:dyDescent="0.3">
      <c r="D515" s="2"/>
      <c r="F515" s="2"/>
      <c r="G515" s="2"/>
      <c r="H515" s="2"/>
      <c r="K515" s="24"/>
    </row>
    <row r="516" spans="4:11" ht="14.25" customHeight="1" x14ac:dyDescent="0.3">
      <c r="D516" s="2"/>
      <c r="F516" s="2"/>
      <c r="G516" s="2"/>
      <c r="H516" s="2"/>
      <c r="K516" s="24"/>
    </row>
    <row r="517" spans="4:11" ht="14.25" customHeight="1" x14ac:dyDescent="0.3">
      <c r="D517" s="2"/>
      <c r="F517" s="2"/>
      <c r="G517" s="2"/>
      <c r="H517" s="2"/>
      <c r="K517" s="24"/>
    </row>
    <row r="518" spans="4:11" ht="14.25" customHeight="1" x14ac:dyDescent="0.3">
      <c r="D518" s="2"/>
      <c r="F518" s="2"/>
      <c r="G518" s="2"/>
      <c r="H518" s="2"/>
      <c r="K518" s="24"/>
    </row>
    <row r="519" spans="4:11" ht="14.25" customHeight="1" x14ac:dyDescent="0.3">
      <c r="D519" s="2"/>
      <c r="F519" s="2"/>
      <c r="G519" s="2"/>
      <c r="H519" s="2"/>
      <c r="K519" s="24"/>
    </row>
    <row r="520" spans="4:11" ht="14.25" customHeight="1" x14ac:dyDescent="0.3">
      <c r="D520" s="2"/>
      <c r="F520" s="2"/>
      <c r="G520" s="2"/>
      <c r="H520" s="2"/>
      <c r="K520" s="24"/>
    </row>
    <row r="521" spans="4:11" ht="14.25" customHeight="1" x14ac:dyDescent="0.3">
      <c r="D521" s="2"/>
      <c r="F521" s="2"/>
      <c r="G521" s="2"/>
      <c r="H521" s="2"/>
      <c r="K521" s="24"/>
    </row>
    <row r="522" spans="4:11" ht="14.25" customHeight="1" x14ac:dyDescent="0.3">
      <c r="D522" s="2"/>
      <c r="F522" s="2"/>
      <c r="G522" s="2"/>
      <c r="H522" s="2"/>
      <c r="K522" s="24"/>
    </row>
    <row r="523" spans="4:11" ht="14.25" customHeight="1" x14ac:dyDescent="0.3">
      <c r="D523" s="2"/>
      <c r="F523" s="2"/>
      <c r="G523" s="2"/>
      <c r="H523" s="2"/>
      <c r="K523" s="24"/>
    </row>
    <row r="524" spans="4:11" ht="14.25" customHeight="1" x14ac:dyDescent="0.3">
      <c r="D524" s="2"/>
      <c r="F524" s="2"/>
      <c r="G524" s="2"/>
      <c r="H524" s="2"/>
      <c r="K524" s="24"/>
    </row>
    <row r="525" spans="4:11" ht="14.25" customHeight="1" x14ac:dyDescent="0.3">
      <c r="D525" s="2"/>
      <c r="F525" s="2"/>
      <c r="G525" s="2"/>
      <c r="H525" s="2"/>
      <c r="K525" s="24"/>
    </row>
    <row r="526" spans="4:11" ht="14.25" customHeight="1" x14ac:dyDescent="0.3">
      <c r="D526" s="2"/>
      <c r="F526" s="2"/>
      <c r="G526" s="2"/>
      <c r="H526" s="2"/>
      <c r="K526" s="24"/>
    </row>
    <row r="527" spans="4:11" ht="14.25" customHeight="1" x14ac:dyDescent="0.3">
      <c r="D527" s="2"/>
      <c r="F527" s="2"/>
      <c r="G527" s="2"/>
      <c r="H527" s="2"/>
      <c r="K527" s="24"/>
    </row>
    <row r="528" spans="4:11" ht="14.25" customHeight="1" x14ac:dyDescent="0.3">
      <c r="D528" s="2"/>
      <c r="F528" s="2"/>
      <c r="G528" s="2"/>
      <c r="H528" s="2"/>
      <c r="K528" s="24"/>
    </row>
    <row r="529" spans="4:11" ht="14.25" customHeight="1" x14ac:dyDescent="0.3">
      <c r="D529" s="2"/>
      <c r="F529" s="2"/>
      <c r="G529" s="2"/>
      <c r="H529" s="2"/>
      <c r="K529" s="24"/>
    </row>
    <row r="530" spans="4:11" ht="14.25" customHeight="1" x14ac:dyDescent="0.3">
      <c r="D530" s="2"/>
      <c r="F530" s="2"/>
      <c r="G530" s="2"/>
      <c r="H530" s="2"/>
      <c r="K530" s="24"/>
    </row>
    <row r="531" spans="4:11" ht="14.25" customHeight="1" x14ac:dyDescent="0.3">
      <c r="D531" s="2"/>
      <c r="F531" s="2"/>
      <c r="G531" s="2"/>
      <c r="H531" s="2"/>
      <c r="K531" s="24"/>
    </row>
    <row r="532" spans="4:11" ht="14.25" customHeight="1" x14ac:dyDescent="0.3">
      <c r="D532" s="2"/>
      <c r="F532" s="2"/>
      <c r="G532" s="2"/>
      <c r="H532" s="2"/>
      <c r="K532" s="24"/>
    </row>
    <row r="533" spans="4:11" ht="14.25" customHeight="1" x14ac:dyDescent="0.3">
      <c r="D533" s="2"/>
      <c r="F533" s="2"/>
      <c r="G533" s="2"/>
      <c r="H533" s="2"/>
      <c r="K533" s="24"/>
    </row>
    <row r="534" spans="4:11" ht="14.25" customHeight="1" x14ac:dyDescent="0.3">
      <c r="D534" s="2"/>
      <c r="F534" s="2"/>
      <c r="G534" s="2"/>
      <c r="H534" s="2"/>
      <c r="K534" s="24"/>
    </row>
    <row r="535" spans="4:11" ht="14.25" customHeight="1" x14ac:dyDescent="0.3">
      <c r="D535" s="2"/>
      <c r="F535" s="2"/>
      <c r="G535" s="2"/>
      <c r="H535" s="2"/>
      <c r="K535" s="24"/>
    </row>
    <row r="536" spans="4:11" ht="14.25" customHeight="1" x14ac:dyDescent="0.3">
      <c r="D536" s="2"/>
      <c r="F536" s="2"/>
      <c r="G536" s="2"/>
      <c r="H536" s="2"/>
      <c r="K536" s="24"/>
    </row>
    <row r="537" spans="4:11" ht="14.25" customHeight="1" x14ac:dyDescent="0.3">
      <c r="D537" s="2"/>
      <c r="F537" s="2"/>
      <c r="G537" s="2"/>
      <c r="H537" s="2"/>
      <c r="K537" s="24"/>
    </row>
    <row r="538" spans="4:11" ht="14.25" customHeight="1" x14ac:dyDescent="0.3">
      <c r="D538" s="2"/>
      <c r="F538" s="2"/>
      <c r="G538" s="2"/>
      <c r="H538" s="2"/>
      <c r="K538" s="24"/>
    </row>
    <row r="539" spans="4:11" ht="14.25" customHeight="1" x14ac:dyDescent="0.3">
      <c r="D539" s="2"/>
      <c r="F539" s="2"/>
      <c r="G539" s="2"/>
      <c r="H539" s="2"/>
      <c r="K539" s="24"/>
    </row>
    <row r="540" spans="4:11" ht="14.25" customHeight="1" x14ac:dyDescent="0.3">
      <c r="D540" s="2"/>
      <c r="F540" s="2"/>
      <c r="G540" s="2"/>
      <c r="H540" s="2"/>
      <c r="K540" s="24"/>
    </row>
    <row r="541" spans="4:11" ht="14.25" customHeight="1" x14ac:dyDescent="0.3">
      <c r="D541" s="2"/>
      <c r="F541" s="2"/>
      <c r="G541" s="2"/>
      <c r="H541" s="2"/>
      <c r="K541" s="24"/>
    </row>
    <row r="542" spans="4:11" ht="14.25" customHeight="1" x14ac:dyDescent="0.3">
      <c r="D542" s="2"/>
      <c r="F542" s="2"/>
      <c r="G542" s="2"/>
      <c r="H542" s="2"/>
      <c r="K542" s="24"/>
    </row>
    <row r="543" spans="4:11" ht="14.25" customHeight="1" x14ac:dyDescent="0.3">
      <c r="D543" s="2"/>
      <c r="F543" s="2"/>
      <c r="G543" s="2"/>
      <c r="H543" s="2"/>
      <c r="K543" s="24"/>
    </row>
    <row r="544" spans="4:11" ht="14.25" customHeight="1" x14ac:dyDescent="0.3">
      <c r="D544" s="2"/>
      <c r="F544" s="2"/>
      <c r="G544" s="2"/>
      <c r="H544" s="2"/>
      <c r="K544" s="24"/>
    </row>
    <row r="545" spans="4:11" ht="14.25" customHeight="1" x14ac:dyDescent="0.3">
      <c r="D545" s="2"/>
      <c r="F545" s="2"/>
      <c r="G545" s="2"/>
      <c r="H545" s="2"/>
      <c r="K545" s="24"/>
    </row>
    <row r="546" spans="4:11" ht="14.25" customHeight="1" x14ac:dyDescent="0.3">
      <c r="D546" s="2"/>
      <c r="F546" s="2"/>
      <c r="G546" s="2"/>
      <c r="H546" s="2"/>
      <c r="K546" s="24"/>
    </row>
    <row r="547" spans="4:11" ht="14.25" customHeight="1" x14ac:dyDescent="0.3">
      <c r="D547" s="2"/>
      <c r="F547" s="2"/>
      <c r="G547" s="2"/>
      <c r="H547" s="2"/>
      <c r="K547" s="24"/>
    </row>
    <row r="548" spans="4:11" ht="14.25" customHeight="1" x14ac:dyDescent="0.3">
      <c r="D548" s="2"/>
      <c r="F548" s="2"/>
      <c r="G548" s="2"/>
      <c r="H548" s="2"/>
      <c r="K548" s="24"/>
    </row>
    <row r="549" spans="4:11" ht="14.25" customHeight="1" x14ac:dyDescent="0.3">
      <c r="D549" s="2"/>
      <c r="F549" s="2"/>
      <c r="G549" s="2"/>
      <c r="H549" s="2"/>
      <c r="K549" s="24"/>
    </row>
    <row r="550" spans="4:11" ht="14.25" customHeight="1" x14ac:dyDescent="0.3">
      <c r="D550" s="2"/>
      <c r="F550" s="2"/>
      <c r="G550" s="2"/>
      <c r="H550" s="2"/>
      <c r="K550" s="24"/>
    </row>
    <row r="551" spans="4:11" ht="14.25" customHeight="1" x14ac:dyDescent="0.3">
      <c r="D551" s="2"/>
      <c r="F551" s="2"/>
      <c r="G551" s="2"/>
      <c r="H551" s="2"/>
      <c r="K551" s="24"/>
    </row>
    <row r="552" spans="4:11" ht="14.25" customHeight="1" x14ac:dyDescent="0.3">
      <c r="D552" s="2"/>
      <c r="F552" s="2"/>
      <c r="G552" s="2"/>
      <c r="H552" s="2"/>
      <c r="K552" s="24"/>
    </row>
    <row r="553" spans="4:11" ht="14.25" customHeight="1" x14ac:dyDescent="0.3">
      <c r="D553" s="2"/>
      <c r="F553" s="2"/>
      <c r="G553" s="2"/>
      <c r="H553" s="2"/>
      <c r="K553" s="24"/>
    </row>
    <row r="554" spans="4:11" ht="14.25" customHeight="1" x14ac:dyDescent="0.3">
      <c r="D554" s="2"/>
      <c r="F554" s="2"/>
      <c r="G554" s="2"/>
      <c r="H554" s="2"/>
      <c r="K554" s="24"/>
    </row>
    <row r="555" spans="4:11" ht="14.25" customHeight="1" x14ac:dyDescent="0.3">
      <c r="D555" s="2"/>
      <c r="F555" s="2"/>
      <c r="G555" s="2"/>
      <c r="H555" s="2"/>
      <c r="K555" s="24"/>
    </row>
    <row r="556" spans="4:11" ht="14.25" customHeight="1" x14ac:dyDescent="0.3">
      <c r="D556" s="2"/>
      <c r="F556" s="2"/>
      <c r="G556" s="2"/>
      <c r="H556" s="2"/>
      <c r="K556" s="24"/>
    </row>
    <row r="557" spans="4:11" ht="14.25" customHeight="1" x14ac:dyDescent="0.3">
      <c r="D557" s="2"/>
      <c r="F557" s="2"/>
      <c r="G557" s="2"/>
      <c r="H557" s="2"/>
      <c r="K557" s="24"/>
    </row>
    <row r="558" spans="4:11" ht="14.25" customHeight="1" x14ac:dyDescent="0.3">
      <c r="D558" s="2"/>
      <c r="F558" s="2"/>
      <c r="G558" s="2"/>
      <c r="H558" s="2"/>
      <c r="K558" s="24"/>
    </row>
    <row r="559" spans="4:11" ht="14.25" customHeight="1" x14ac:dyDescent="0.3">
      <c r="D559" s="2"/>
      <c r="F559" s="2"/>
      <c r="G559" s="2"/>
      <c r="H559" s="2"/>
      <c r="K559" s="24"/>
    </row>
    <row r="560" spans="4:11" ht="14.25" customHeight="1" x14ac:dyDescent="0.3">
      <c r="D560" s="2"/>
      <c r="F560" s="2"/>
      <c r="G560" s="2"/>
      <c r="H560" s="2"/>
      <c r="K560" s="24"/>
    </row>
    <row r="561" spans="4:11" ht="14.25" customHeight="1" x14ac:dyDescent="0.3">
      <c r="D561" s="2"/>
      <c r="F561" s="2"/>
      <c r="G561" s="2"/>
      <c r="H561" s="2"/>
      <c r="K561" s="24"/>
    </row>
    <row r="562" spans="4:11" ht="14.25" customHeight="1" x14ac:dyDescent="0.3">
      <c r="D562" s="2"/>
      <c r="F562" s="2"/>
      <c r="G562" s="2"/>
      <c r="H562" s="2"/>
      <c r="K562" s="24"/>
    </row>
    <row r="563" spans="4:11" ht="14.25" customHeight="1" x14ac:dyDescent="0.3">
      <c r="D563" s="2"/>
      <c r="F563" s="2"/>
      <c r="G563" s="2"/>
      <c r="H563" s="2"/>
      <c r="K563" s="24"/>
    </row>
    <row r="564" spans="4:11" ht="14.25" customHeight="1" x14ac:dyDescent="0.3">
      <c r="D564" s="2"/>
      <c r="F564" s="2"/>
      <c r="G564" s="2"/>
      <c r="H564" s="2"/>
      <c r="K564" s="24"/>
    </row>
    <row r="565" spans="4:11" ht="14.25" customHeight="1" x14ac:dyDescent="0.3">
      <c r="D565" s="2"/>
      <c r="F565" s="2"/>
      <c r="G565" s="2"/>
      <c r="H565" s="2"/>
      <c r="K565" s="24"/>
    </row>
    <row r="566" spans="4:11" ht="14.25" customHeight="1" x14ac:dyDescent="0.3">
      <c r="D566" s="2"/>
      <c r="F566" s="2"/>
      <c r="G566" s="2"/>
      <c r="H566" s="2"/>
      <c r="K566" s="24"/>
    </row>
    <row r="567" spans="4:11" ht="14.25" customHeight="1" x14ac:dyDescent="0.3">
      <c r="D567" s="2"/>
      <c r="F567" s="2"/>
      <c r="G567" s="2"/>
      <c r="H567" s="2"/>
      <c r="K567" s="24"/>
    </row>
    <row r="568" spans="4:11" ht="14.25" customHeight="1" x14ac:dyDescent="0.3">
      <c r="D568" s="2"/>
      <c r="F568" s="2"/>
      <c r="G568" s="2"/>
      <c r="H568" s="2"/>
      <c r="K568" s="24"/>
    </row>
    <row r="569" spans="4:11" ht="14.25" customHeight="1" x14ac:dyDescent="0.3">
      <c r="D569" s="2"/>
      <c r="F569" s="2"/>
      <c r="G569" s="2"/>
      <c r="H569" s="2"/>
      <c r="K569" s="24"/>
    </row>
    <row r="570" spans="4:11" ht="14.25" customHeight="1" x14ac:dyDescent="0.3">
      <c r="D570" s="2"/>
      <c r="F570" s="2"/>
      <c r="G570" s="2"/>
      <c r="H570" s="2"/>
      <c r="K570" s="24"/>
    </row>
    <row r="571" spans="4:11" ht="14.25" customHeight="1" x14ac:dyDescent="0.3">
      <c r="D571" s="2"/>
      <c r="F571" s="2"/>
      <c r="G571" s="2"/>
      <c r="H571" s="2"/>
      <c r="K571" s="24"/>
    </row>
    <row r="572" spans="4:11" ht="14.25" customHeight="1" x14ac:dyDescent="0.3">
      <c r="D572" s="2"/>
      <c r="F572" s="2"/>
      <c r="G572" s="2"/>
      <c r="H572" s="2"/>
      <c r="K572" s="24"/>
    </row>
    <row r="573" spans="4:11" ht="14.25" customHeight="1" x14ac:dyDescent="0.3">
      <c r="D573" s="2"/>
      <c r="F573" s="2"/>
      <c r="G573" s="2"/>
      <c r="H573" s="2"/>
      <c r="K573" s="24"/>
    </row>
    <row r="574" spans="4:11" ht="14.25" customHeight="1" x14ac:dyDescent="0.3">
      <c r="D574" s="2"/>
      <c r="F574" s="2"/>
      <c r="G574" s="2"/>
      <c r="H574" s="2"/>
      <c r="K574" s="24"/>
    </row>
    <row r="575" spans="4:11" ht="14.25" customHeight="1" x14ac:dyDescent="0.3">
      <c r="D575" s="2"/>
      <c r="F575" s="2"/>
      <c r="G575" s="2"/>
      <c r="H575" s="2"/>
      <c r="K575" s="24"/>
    </row>
    <row r="576" spans="4:11" ht="14.25" customHeight="1" x14ac:dyDescent="0.3">
      <c r="D576" s="2"/>
      <c r="F576" s="2"/>
      <c r="G576" s="2"/>
      <c r="H576" s="2"/>
      <c r="K576" s="24"/>
    </row>
    <row r="577" spans="4:11" ht="14.25" customHeight="1" x14ac:dyDescent="0.3">
      <c r="D577" s="2"/>
      <c r="F577" s="2"/>
      <c r="G577" s="2"/>
      <c r="H577" s="2"/>
      <c r="K577" s="24"/>
    </row>
    <row r="578" spans="4:11" ht="14.25" customHeight="1" x14ac:dyDescent="0.3">
      <c r="D578" s="2"/>
      <c r="F578" s="2"/>
      <c r="G578" s="2"/>
      <c r="H578" s="2"/>
      <c r="K578" s="24"/>
    </row>
    <row r="579" spans="4:11" ht="14.25" customHeight="1" x14ac:dyDescent="0.3">
      <c r="D579" s="2"/>
      <c r="F579" s="2"/>
      <c r="G579" s="2"/>
      <c r="H579" s="2"/>
      <c r="K579" s="24"/>
    </row>
    <row r="580" spans="4:11" ht="14.25" customHeight="1" x14ac:dyDescent="0.3">
      <c r="D580" s="2"/>
      <c r="F580" s="2"/>
      <c r="G580" s="2"/>
      <c r="H580" s="2"/>
      <c r="K580" s="24"/>
    </row>
    <row r="581" spans="4:11" ht="14.25" customHeight="1" x14ac:dyDescent="0.3">
      <c r="D581" s="2"/>
      <c r="F581" s="2"/>
      <c r="G581" s="2"/>
      <c r="H581" s="2"/>
      <c r="K581" s="24"/>
    </row>
    <row r="582" spans="4:11" ht="14.25" customHeight="1" x14ac:dyDescent="0.3">
      <c r="D582" s="2"/>
      <c r="F582" s="2"/>
      <c r="G582" s="2"/>
      <c r="H582" s="2"/>
      <c r="K582" s="24"/>
    </row>
    <row r="583" spans="4:11" ht="14.25" customHeight="1" x14ac:dyDescent="0.3">
      <c r="D583" s="2"/>
      <c r="F583" s="2"/>
      <c r="G583" s="2"/>
      <c r="H583" s="2"/>
      <c r="K583" s="24"/>
    </row>
    <row r="584" spans="4:11" ht="14.25" customHeight="1" x14ac:dyDescent="0.3">
      <c r="D584" s="2"/>
      <c r="F584" s="2"/>
      <c r="G584" s="2"/>
      <c r="H584" s="2"/>
      <c r="K584" s="24"/>
    </row>
    <row r="585" spans="4:11" ht="14.25" customHeight="1" x14ac:dyDescent="0.3">
      <c r="D585" s="2"/>
      <c r="F585" s="2"/>
      <c r="G585" s="2"/>
      <c r="H585" s="2"/>
      <c r="K585" s="24"/>
    </row>
    <row r="586" spans="4:11" ht="14.25" customHeight="1" x14ac:dyDescent="0.3">
      <c r="D586" s="2"/>
      <c r="F586" s="2"/>
      <c r="G586" s="2"/>
      <c r="H586" s="2"/>
      <c r="K586" s="24"/>
    </row>
    <row r="587" spans="4:11" ht="14.25" customHeight="1" x14ac:dyDescent="0.3">
      <c r="D587" s="2"/>
      <c r="F587" s="2"/>
      <c r="G587" s="2"/>
      <c r="H587" s="2"/>
      <c r="K587" s="24"/>
    </row>
    <row r="588" spans="4:11" ht="14.25" customHeight="1" x14ac:dyDescent="0.3">
      <c r="D588" s="2"/>
      <c r="F588" s="2"/>
      <c r="G588" s="2"/>
      <c r="H588" s="2"/>
      <c r="K588" s="24"/>
    </row>
    <row r="589" spans="4:11" ht="14.25" customHeight="1" x14ac:dyDescent="0.3">
      <c r="D589" s="2"/>
      <c r="F589" s="2"/>
      <c r="G589" s="2"/>
      <c r="H589" s="2"/>
      <c r="K589" s="24"/>
    </row>
    <row r="590" spans="4:11" ht="14.25" customHeight="1" x14ac:dyDescent="0.3">
      <c r="D590" s="2"/>
      <c r="F590" s="2"/>
      <c r="G590" s="2"/>
      <c r="H590" s="2"/>
      <c r="K590" s="24"/>
    </row>
    <row r="591" spans="4:11" ht="14.25" customHeight="1" x14ac:dyDescent="0.3">
      <c r="D591" s="2"/>
      <c r="F591" s="2"/>
      <c r="G591" s="2"/>
      <c r="H591" s="2"/>
      <c r="K591" s="24"/>
    </row>
    <row r="592" spans="4:11" ht="14.25" customHeight="1" x14ac:dyDescent="0.3">
      <c r="D592" s="2"/>
      <c r="F592" s="2"/>
      <c r="G592" s="2"/>
      <c r="H592" s="2"/>
      <c r="K592" s="24"/>
    </row>
    <row r="593" spans="4:11" ht="14.25" customHeight="1" x14ac:dyDescent="0.3">
      <c r="D593" s="2"/>
      <c r="F593" s="2"/>
      <c r="G593" s="2"/>
      <c r="H593" s="2"/>
      <c r="K593" s="24"/>
    </row>
    <row r="594" spans="4:11" ht="14.25" customHeight="1" x14ac:dyDescent="0.3">
      <c r="D594" s="2"/>
      <c r="F594" s="2"/>
      <c r="G594" s="2"/>
      <c r="H594" s="2"/>
      <c r="K594" s="24"/>
    </row>
    <row r="595" spans="4:11" ht="14.25" customHeight="1" x14ac:dyDescent="0.3">
      <c r="D595" s="2"/>
      <c r="F595" s="2"/>
      <c r="G595" s="2"/>
      <c r="H595" s="2"/>
      <c r="K595" s="24"/>
    </row>
    <row r="596" spans="4:11" ht="14.25" customHeight="1" x14ac:dyDescent="0.3">
      <c r="D596" s="2"/>
      <c r="F596" s="2"/>
      <c r="G596" s="2"/>
      <c r="H596" s="2"/>
      <c r="K596" s="24"/>
    </row>
    <row r="597" spans="4:11" ht="14.25" customHeight="1" x14ac:dyDescent="0.3">
      <c r="D597" s="2"/>
      <c r="F597" s="2"/>
      <c r="G597" s="2"/>
      <c r="H597" s="2"/>
      <c r="K597" s="24"/>
    </row>
    <row r="598" spans="4:11" ht="14.25" customHeight="1" x14ac:dyDescent="0.3">
      <c r="D598" s="2"/>
      <c r="F598" s="2"/>
      <c r="G598" s="2"/>
      <c r="H598" s="2"/>
      <c r="K598" s="24"/>
    </row>
    <row r="599" spans="4:11" ht="14.25" customHeight="1" x14ac:dyDescent="0.3">
      <c r="D599" s="2"/>
      <c r="F599" s="2"/>
      <c r="G599" s="2"/>
      <c r="H599" s="2"/>
      <c r="K599" s="24"/>
    </row>
    <row r="600" spans="4:11" ht="14.25" customHeight="1" x14ac:dyDescent="0.3">
      <c r="D600" s="2"/>
      <c r="F600" s="2"/>
      <c r="G600" s="2"/>
      <c r="H600" s="2"/>
      <c r="K600" s="24"/>
    </row>
    <row r="601" spans="4:11" ht="14.25" customHeight="1" x14ac:dyDescent="0.3">
      <c r="D601" s="2"/>
      <c r="F601" s="2"/>
      <c r="G601" s="2"/>
      <c r="H601" s="2"/>
      <c r="K601" s="24"/>
    </row>
    <row r="602" spans="4:11" ht="14.25" customHeight="1" x14ac:dyDescent="0.3">
      <c r="D602" s="2"/>
      <c r="F602" s="2"/>
      <c r="G602" s="2"/>
      <c r="H602" s="2"/>
      <c r="K602" s="24"/>
    </row>
    <row r="603" spans="4:11" ht="14.25" customHeight="1" x14ac:dyDescent="0.3">
      <c r="D603" s="2"/>
      <c r="F603" s="2"/>
      <c r="G603" s="2"/>
      <c r="H603" s="2"/>
      <c r="K603" s="24"/>
    </row>
    <row r="604" spans="4:11" ht="14.25" customHeight="1" x14ac:dyDescent="0.3">
      <c r="D604" s="2"/>
      <c r="F604" s="2"/>
      <c r="G604" s="2"/>
      <c r="H604" s="2"/>
      <c r="K604" s="24"/>
    </row>
    <row r="605" spans="4:11" ht="14.25" customHeight="1" x14ac:dyDescent="0.3">
      <c r="D605" s="2"/>
      <c r="F605" s="2"/>
      <c r="G605" s="2"/>
      <c r="H605" s="2"/>
      <c r="K605" s="24"/>
    </row>
    <row r="606" spans="4:11" ht="14.25" customHeight="1" x14ac:dyDescent="0.3">
      <c r="D606" s="2"/>
      <c r="F606" s="2"/>
      <c r="G606" s="2"/>
      <c r="H606" s="2"/>
      <c r="K606" s="24"/>
    </row>
    <row r="607" spans="4:11" ht="14.25" customHeight="1" x14ac:dyDescent="0.3">
      <c r="D607" s="2"/>
      <c r="F607" s="2"/>
      <c r="G607" s="2"/>
      <c r="H607" s="2"/>
      <c r="K607" s="24"/>
    </row>
    <row r="608" spans="4:11" ht="14.25" customHeight="1" x14ac:dyDescent="0.3">
      <c r="D608" s="2"/>
      <c r="F608" s="2"/>
      <c r="G608" s="2"/>
      <c r="H608" s="2"/>
      <c r="K608" s="24"/>
    </row>
    <row r="609" spans="4:11" ht="14.25" customHeight="1" x14ac:dyDescent="0.3">
      <c r="D609" s="2"/>
      <c r="F609" s="2"/>
      <c r="G609" s="2"/>
      <c r="H609" s="2"/>
      <c r="K609" s="24"/>
    </row>
    <row r="610" spans="4:11" ht="14.25" customHeight="1" x14ac:dyDescent="0.3">
      <c r="D610" s="2"/>
      <c r="F610" s="2"/>
      <c r="G610" s="2"/>
      <c r="H610" s="2"/>
      <c r="K610" s="24"/>
    </row>
    <row r="611" spans="4:11" ht="14.25" customHeight="1" x14ac:dyDescent="0.3">
      <c r="D611" s="2"/>
      <c r="F611" s="2"/>
      <c r="G611" s="2"/>
      <c r="H611" s="2"/>
      <c r="K611" s="24"/>
    </row>
    <row r="612" spans="4:11" ht="14.25" customHeight="1" x14ac:dyDescent="0.3">
      <c r="D612" s="2"/>
      <c r="F612" s="2"/>
      <c r="G612" s="2"/>
      <c r="H612" s="2"/>
      <c r="K612" s="24"/>
    </row>
    <row r="613" spans="4:11" ht="14.25" customHeight="1" x14ac:dyDescent="0.3">
      <c r="D613" s="2"/>
      <c r="F613" s="2"/>
      <c r="G613" s="2"/>
      <c r="H613" s="2"/>
      <c r="K613" s="24"/>
    </row>
    <row r="614" spans="4:11" ht="14.25" customHeight="1" x14ac:dyDescent="0.3">
      <c r="D614" s="2"/>
      <c r="F614" s="2"/>
      <c r="G614" s="2"/>
      <c r="H614" s="2"/>
      <c r="K614" s="24"/>
    </row>
    <row r="615" spans="4:11" ht="14.25" customHeight="1" x14ac:dyDescent="0.3">
      <c r="D615" s="2"/>
      <c r="F615" s="2"/>
      <c r="G615" s="2"/>
      <c r="H615" s="2"/>
      <c r="K615" s="24"/>
    </row>
    <row r="616" spans="4:11" ht="14.25" customHeight="1" x14ac:dyDescent="0.3">
      <c r="D616" s="2"/>
      <c r="F616" s="2"/>
      <c r="G616" s="2"/>
      <c r="H616" s="2"/>
      <c r="K616" s="24"/>
    </row>
    <row r="617" spans="4:11" ht="14.25" customHeight="1" x14ac:dyDescent="0.3">
      <c r="D617" s="2"/>
      <c r="F617" s="2"/>
      <c r="G617" s="2"/>
      <c r="H617" s="2"/>
      <c r="K617" s="24"/>
    </row>
    <row r="618" spans="4:11" ht="14.25" customHeight="1" x14ac:dyDescent="0.3">
      <c r="D618" s="2"/>
      <c r="F618" s="2"/>
      <c r="G618" s="2"/>
      <c r="H618" s="2"/>
      <c r="K618" s="24"/>
    </row>
    <row r="619" spans="4:11" ht="14.25" customHeight="1" x14ac:dyDescent="0.3">
      <c r="D619" s="2"/>
      <c r="F619" s="2"/>
      <c r="G619" s="2"/>
      <c r="H619" s="2"/>
      <c r="K619" s="24"/>
    </row>
    <row r="620" spans="4:11" ht="14.25" customHeight="1" x14ac:dyDescent="0.3">
      <c r="D620" s="2"/>
      <c r="F620" s="2"/>
      <c r="G620" s="2"/>
      <c r="H620" s="2"/>
      <c r="K620" s="24"/>
    </row>
    <row r="621" spans="4:11" ht="14.25" customHeight="1" x14ac:dyDescent="0.3">
      <c r="D621" s="2"/>
      <c r="F621" s="2"/>
      <c r="G621" s="2"/>
      <c r="H621" s="2"/>
      <c r="K621" s="24"/>
    </row>
    <row r="622" spans="4:11" ht="14.25" customHeight="1" x14ac:dyDescent="0.3">
      <c r="D622" s="2"/>
      <c r="F622" s="2"/>
      <c r="G622" s="2"/>
      <c r="H622" s="2"/>
      <c r="K622" s="24"/>
    </row>
    <row r="623" spans="4:11" ht="14.25" customHeight="1" x14ac:dyDescent="0.3">
      <c r="D623" s="2"/>
      <c r="F623" s="2"/>
      <c r="G623" s="2"/>
      <c r="H623" s="2"/>
      <c r="K623" s="24"/>
    </row>
    <row r="624" spans="4:11" ht="14.25" customHeight="1" x14ac:dyDescent="0.3">
      <c r="D624" s="2"/>
      <c r="F624" s="2"/>
      <c r="G624" s="2"/>
      <c r="H624" s="2"/>
      <c r="K624" s="24"/>
    </row>
    <row r="625" spans="4:11" ht="14.25" customHeight="1" x14ac:dyDescent="0.3">
      <c r="D625" s="2"/>
      <c r="F625" s="2"/>
      <c r="G625" s="2"/>
      <c r="H625" s="2"/>
      <c r="K625" s="24"/>
    </row>
    <row r="626" spans="4:11" ht="14.25" customHeight="1" x14ac:dyDescent="0.3">
      <c r="D626" s="2"/>
      <c r="F626" s="2"/>
      <c r="G626" s="2"/>
      <c r="H626" s="2"/>
      <c r="K626" s="24"/>
    </row>
    <row r="627" spans="4:11" ht="14.25" customHeight="1" x14ac:dyDescent="0.3">
      <c r="D627" s="2"/>
      <c r="F627" s="2"/>
      <c r="G627" s="2"/>
      <c r="H627" s="2"/>
      <c r="K627" s="24"/>
    </row>
    <row r="628" spans="4:11" ht="14.25" customHeight="1" x14ac:dyDescent="0.3">
      <c r="D628" s="2"/>
      <c r="F628" s="2"/>
      <c r="G628" s="2"/>
      <c r="H628" s="2"/>
      <c r="K628" s="24"/>
    </row>
    <row r="629" spans="4:11" ht="14.25" customHeight="1" x14ac:dyDescent="0.3">
      <c r="D629" s="2"/>
      <c r="F629" s="2"/>
      <c r="G629" s="2"/>
      <c r="H629" s="2"/>
      <c r="K629" s="24"/>
    </row>
    <row r="630" spans="4:11" ht="14.25" customHeight="1" x14ac:dyDescent="0.3">
      <c r="D630" s="2"/>
      <c r="F630" s="2"/>
      <c r="G630" s="2"/>
      <c r="H630" s="2"/>
      <c r="K630" s="24"/>
    </row>
    <row r="631" spans="4:11" ht="14.25" customHeight="1" x14ac:dyDescent="0.3">
      <c r="D631" s="2"/>
      <c r="F631" s="2"/>
      <c r="G631" s="2"/>
      <c r="H631" s="2"/>
      <c r="K631" s="24"/>
    </row>
    <row r="632" spans="4:11" ht="14.25" customHeight="1" x14ac:dyDescent="0.3">
      <c r="D632" s="2"/>
      <c r="F632" s="2"/>
      <c r="G632" s="2"/>
      <c r="H632" s="2"/>
      <c r="K632" s="24"/>
    </row>
    <row r="633" spans="4:11" ht="14.25" customHeight="1" x14ac:dyDescent="0.3">
      <c r="D633" s="2"/>
      <c r="F633" s="2"/>
      <c r="G633" s="2"/>
      <c r="H633" s="2"/>
      <c r="K633" s="24"/>
    </row>
    <row r="634" spans="4:11" ht="14.25" customHeight="1" x14ac:dyDescent="0.3">
      <c r="D634" s="2"/>
      <c r="F634" s="2"/>
      <c r="G634" s="2"/>
      <c r="H634" s="2"/>
      <c r="K634" s="24"/>
    </row>
    <row r="635" spans="4:11" ht="14.25" customHeight="1" x14ac:dyDescent="0.3">
      <c r="D635" s="2"/>
      <c r="F635" s="2"/>
      <c r="G635" s="2"/>
      <c r="H635" s="2"/>
      <c r="K635" s="24"/>
    </row>
    <row r="636" spans="4:11" ht="14.25" customHeight="1" x14ac:dyDescent="0.3">
      <c r="D636" s="2"/>
      <c r="F636" s="2"/>
      <c r="G636" s="2"/>
      <c r="H636" s="2"/>
      <c r="K636" s="24"/>
    </row>
    <row r="637" spans="4:11" ht="14.25" customHeight="1" x14ac:dyDescent="0.3">
      <c r="D637" s="2"/>
      <c r="F637" s="2"/>
      <c r="G637" s="2"/>
      <c r="H637" s="2"/>
      <c r="K637" s="24"/>
    </row>
    <row r="638" spans="4:11" ht="14.25" customHeight="1" x14ac:dyDescent="0.3">
      <c r="D638" s="2"/>
      <c r="F638" s="2"/>
      <c r="G638" s="2"/>
      <c r="H638" s="2"/>
      <c r="K638" s="24"/>
    </row>
    <row r="639" spans="4:11" ht="14.25" customHeight="1" x14ac:dyDescent="0.3">
      <c r="D639" s="2"/>
      <c r="F639" s="2"/>
      <c r="G639" s="2"/>
      <c r="H639" s="2"/>
      <c r="K639" s="24"/>
    </row>
    <row r="640" spans="4:11" ht="14.25" customHeight="1" x14ac:dyDescent="0.3">
      <c r="D640" s="2"/>
      <c r="F640" s="2"/>
      <c r="G640" s="2"/>
      <c r="H640" s="2"/>
      <c r="K640" s="24"/>
    </row>
    <row r="641" spans="4:11" ht="14.25" customHeight="1" x14ac:dyDescent="0.3">
      <c r="D641" s="2"/>
      <c r="F641" s="2"/>
      <c r="G641" s="2"/>
      <c r="H641" s="2"/>
      <c r="K641" s="24"/>
    </row>
    <row r="642" spans="4:11" ht="14.25" customHeight="1" x14ac:dyDescent="0.3">
      <c r="D642" s="2"/>
      <c r="F642" s="2"/>
      <c r="G642" s="2"/>
      <c r="H642" s="2"/>
      <c r="K642" s="24"/>
    </row>
    <row r="643" spans="4:11" ht="14.25" customHeight="1" x14ac:dyDescent="0.3">
      <c r="D643" s="2"/>
      <c r="F643" s="2"/>
      <c r="G643" s="2"/>
      <c r="H643" s="2"/>
      <c r="K643" s="24"/>
    </row>
    <row r="644" spans="4:11" ht="14.25" customHeight="1" x14ac:dyDescent="0.3">
      <c r="D644" s="2"/>
      <c r="F644" s="2"/>
      <c r="G644" s="2"/>
      <c r="H644" s="2"/>
      <c r="K644" s="24"/>
    </row>
    <row r="645" spans="4:11" ht="14.25" customHeight="1" x14ac:dyDescent="0.3">
      <c r="D645" s="2"/>
      <c r="F645" s="2"/>
      <c r="G645" s="2"/>
      <c r="H645" s="2"/>
      <c r="K645" s="24"/>
    </row>
    <row r="646" spans="4:11" ht="14.25" customHeight="1" x14ac:dyDescent="0.3">
      <c r="D646" s="2"/>
      <c r="F646" s="2"/>
      <c r="G646" s="2"/>
      <c r="H646" s="2"/>
      <c r="K646" s="24"/>
    </row>
    <row r="647" spans="4:11" ht="14.25" customHeight="1" x14ac:dyDescent="0.3">
      <c r="D647" s="2"/>
      <c r="F647" s="2"/>
      <c r="G647" s="2"/>
      <c r="H647" s="2"/>
      <c r="K647" s="24"/>
    </row>
    <row r="648" spans="4:11" ht="14.25" customHeight="1" x14ac:dyDescent="0.3">
      <c r="D648" s="2"/>
      <c r="F648" s="2"/>
      <c r="G648" s="2"/>
      <c r="H648" s="2"/>
      <c r="K648" s="24"/>
    </row>
    <row r="649" spans="4:11" ht="14.25" customHeight="1" x14ac:dyDescent="0.3">
      <c r="D649" s="2"/>
      <c r="F649" s="2"/>
      <c r="G649" s="2"/>
      <c r="H649" s="2"/>
      <c r="K649" s="24"/>
    </row>
    <row r="650" spans="4:11" ht="14.25" customHeight="1" x14ac:dyDescent="0.3">
      <c r="D650" s="2"/>
      <c r="F650" s="2"/>
      <c r="G650" s="2"/>
      <c r="H650" s="2"/>
      <c r="K650" s="24"/>
    </row>
    <row r="651" spans="4:11" ht="14.25" customHeight="1" x14ac:dyDescent="0.3">
      <c r="D651" s="2"/>
      <c r="F651" s="2"/>
      <c r="G651" s="2"/>
      <c r="H651" s="2"/>
      <c r="K651" s="24"/>
    </row>
    <row r="652" spans="4:11" ht="14.25" customHeight="1" x14ac:dyDescent="0.3">
      <c r="D652" s="2"/>
      <c r="F652" s="2"/>
      <c r="G652" s="2"/>
      <c r="H652" s="2"/>
      <c r="K652" s="24"/>
    </row>
    <row r="653" spans="4:11" ht="14.25" customHeight="1" x14ac:dyDescent="0.3">
      <c r="D653" s="2"/>
      <c r="F653" s="2"/>
      <c r="G653" s="2"/>
      <c r="H653" s="2"/>
      <c r="K653" s="24"/>
    </row>
    <row r="654" spans="4:11" ht="14.25" customHeight="1" x14ac:dyDescent="0.3">
      <c r="D654" s="2"/>
      <c r="F654" s="2"/>
      <c r="G654" s="2"/>
      <c r="H654" s="2"/>
      <c r="K654" s="24"/>
    </row>
    <row r="655" spans="4:11" ht="14.25" customHeight="1" x14ac:dyDescent="0.3">
      <c r="D655" s="2"/>
      <c r="F655" s="2"/>
      <c r="G655" s="2"/>
      <c r="H655" s="2"/>
      <c r="K655" s="24"/>
    </row>
    <row r="656" spans="4:11" ht="14.25" customHeight="1" x14ac:dyDescent="0.3">
      <c r="D656" s="2"/>
      <c r="F656" s="2"/>
      <c r="G656" s="2"/>
      <c r="H656" s="2"/>
      <c r="K656" s="24"/>
    </row>
    <row r="657" spans="4:11" ht="14.25" customHeight="1" x14ac:dyDescent="0.3">
      <c r="D657" s="2"/>
      <c r="F657" s="2"/>
      <c r="G657" s="2"/>
      <c r="H657" s="2"/>
      <c r="K657" s="24"/>
    </row>
    <row r="658" spans="4:11" ht="14.25" customHeight="1" x14ac:dyDescent="0.3">
      <c r="D658" s="2"/>
      <c r="F658" s="2"/>
      <c r="G658" s="2"/>
      <c r="H658" s="2"/>
      <c r="K658" s="24"/>
    </row>
    <row r="659" spans="4:11" ht="14.25" customHeight="1" x14ac:dyDescent="0.3">
      <c r="D659" s="2"/>
      <c r="F659" s="2"/>
      <c r="G659" s="2"/>
      <c r="H659" s="2"/>
      <c r="K659" s="24"/>
    </row>
    <row r="660" spans="4:11" ht="14.25" customHeight="1" x14ac:dyDescent="0.3">
      <c r="D660" s="2"/>
      <c r="F660" s="2"/>
      <c r="G660" s="2"/>
      <c r="H660" s="2"/>
      <c r="K660" s="24"/>
    </row>
    <row r="661" spans="4:11" ht="14.25" customHeight="1" x14ac:dyDescent="0.3">
      <c r="D661" s="2"/>
      <c r="F661" s="2"/>
      <c r="G661" s="2"/>
      <c r="H661" s="2"/>
      <c r="K661" s="24"/>
    </row>
    <row r="662" spans="4:11" ht="14.25" customHeight="1" x14ac:dyDescent="0.3">
      <c r="D662" s="2"/>
      <c r="F662" s="2"/>
      <c r="G662" s="2"/>
      <c r="H662" s="2"/>
      <c r="K662" s="24"/>
    </row>
    <row r="663" spans="4:11" ht="14.25" customHeight="1" x14ac:dyDescent="0.3">
      <c r="D663" s="2"/>
      <c r="F663" s="2"/>
      <c r="G663" s="2"/>
      <c r="H663" s="2"/>
      <c r="K663" s="24"/>
    </row>
    <row r="664" spans="4:11" ht="14.25" customHeight="1" x14ac:dyDescent="0.3">
      <c r="D664" s="2"/>
      <c r="F664" s="2"/>
      <c r="G664" s="2"/>
      <c r="H664" s="2"/>
      <c r="K664" s="24"/>
    </row>
    <row r="665" spans="4:11" ht="14.25" customHeight="1" x14ac:dyDescent="0.3">
      <c r="D665" s="2"/>
      <c r="F665" s="2"/>
      <c r="G665" s="2"/>
      <c r="H665" s="2"/>
      <c r="K665" s="24"/>
    </row>
    <row r="666" spans="4:11" ht="14.25" customHeight="1" x14ac:dyDescent="0.3">
      <c r="D666" s="2"/>
      <c r="F666" s="2"/>
      <c r="G666" s="2"/>
      <c r="H666" s="2"/>
      <c r="K666" s="24"/>
    </row>
    <row r="667" spans="4:11" ht="14.25" customHeight="1" x14ac:dyDescent="0.3">
      <c r="D667" s="2"/>
      <c r="F667" s="2"/>
      <c r="G667" s="2"/>
      <c r="H667" s="2"/>
      <c r="K667" s="24"/>
    </row>
    <row r="668" spans="4:11" ht="14.25" customHeight="1" x14ac:dyDescent="0.3">
      <c r="D668" s="2"/>
      <c r="F668" s="2"/>
      <c r="G668" s="2"/>
      <c r="H668" s="2"/>
      <c r="K668" s="24"/>
    </row>
    <row r="669" spans="4:11" ht="14.25" customHeight="1" x14ac:dyDescent="0.3">
      <c r="D669" s="2"/>
      <c r="F669" s="2"/>
      <c r="G669" s="2"/>
      <c r="H669" s="2"/>
      <c r="K669" s="24"/>
    </row>
    <row r="670" spans="4:11" ht="14.25" customHeight="1" x14ac:dyDescent="0.3">
      <c r="D670" s="2"/>
      <c r="F670" s="2"/>
      <c r="G670" s="2"/>
      <c r="H670" s="2"/>
      <c r="K670" s="24"/>
    </row>
    <row r="671" spans="4:11" ht="14.25" customHeight="1" x14ac:dyDescent="0.3">
      <c r="D671" s="2"/>
      <c r="F671" s="2"/>
      <c r="G671" s="2"/>
      <c r="H671" s="2"/>
      <c r="K671" s="24"/>
    </row>
    <row r="672" spans="4:11" ht="14.25" customHeight="1" x14ac:dyDescent="0.3">
      <c r="D672" s="2"/>
      <c r="F672" s="2"/>
      <c r="G672" s="2"/>
      <c r="H672" s="2"/>
      <c r="K672" s="24"/>
    </row>
    <row r="673" spans="4:11" ht="14.25" customHeight="1" x14ac:dyDescent="0.3">
      <c r="D673" s="2"/>
      <c r="F673" s="2"/>
      <c r="G673" s="2"/>
      <c r="H673" s="2"/>
      <c r="K673" s="24"/>
    </row>
    <row r="674" spans="4:11" ht="14.25" customHeight="1" x14ac:dyDescent="0.3">
      <c r="D674" s="2"/>
      <c r="F674" s="2"/>
      <c r="G674" s="2"/>
      <c r="H674" s="2"/>
      <c r="K674" s="24"/>
    </row>
    <row r="675" spans="4:11" ht="14.25" customHeight="1" x14ac:dyDescent="0.3">
      <c r="D675" s="2"/>
      <c r="F675" s="2"/>
      <c r="G675" s="2"/>
      <c r="H675" s="2"/>
      <c r="K675" s="24"/>
    </row>
    <row r="676" spans="4:11" ht="14.25" customHeight="1" x14ac:dyDescent="0.3">
      <c r="D676" s="2"/>
      <c r="F676" s="2"/>
      <c r="G676" s="2"/>
      <c r="H676" s="2"/>
      <c r="K676" s="24"/>
    </row>
    <row r="677" spans="4:11" ht="14.25" customHeight="1" x14ac:dyDescent="0.3">
      <c r="D677" s="2"/>
      <c r="F677" s="2"/>
      <c r="G677" s="2"/>
      <c r="H677" s="2"/>
      <c r="K677" s="24"/>
    </row>
    <row r="678" spans="4:11" ht="14.25" customHeight="1" x14ac:dyDescent="0.3">
      <c r="D678" s="2"/>
      <c r="F678" s="2"/>
      <c r="G678" s="2"/>
      <c r="H678" s="2"/>
      <c r="K678" s="24"/>
    </row>
    <row r="679" spans="4:11" ht="14.25" customHeight="1" x14ac:dyDescent="0.3">
      <c r="D679" s="2"/>
      <c r="F679" s="2"/>
      <c r="G679" s="2"/>
      <c r="H679" s="2"/>
      <c r="K679" s="24"/>
    </row>
    <row r="680" spans="4:11" ht="14.25" customHeight="1" x14ac:dyDescent="0.3">
      <c r="D680" s="2"/>
      <c r="F680" s="2"/>
      <c r="G680" s="2"/>
      <c r="H680" s="2"/>
      <c r="K680" s="24"/>
    </row>
    <row r="681" spans="4:11" ht="14.25" customHeight="1" x14ac:dyDescent="0.3">
      <c r="D681" s="2"/>
      <c r="F681" s="2"/>
      <c r="G681" s="2"/>
      <c r="H681" s="2"/>
      <c r="K681" s="24"/>
    </row>
    <row r="682" spans="4:11" ht="14.25" customHeight="1" x14ac:dyDescent="0.3">
      <c r="D682" s="2"/>
      <c r="F682" s="2"/>
      <c r="G682" s="2"/>
      <c r="H682" s="2"/>
      <c r="K682" s="24"/>
    </row>
    <row r="683" spans="4:11" ht="14.25" customHeight="1" x14ac:dyDescent="0.3">
      <c r="D683" s="2"/>
      <c r="F683" s="2"/>
      <c r="G683" s="2"/>
      <c r="H683" s="2"/>
      <c r="K683" s="24"/>
    </row>
    <row r="684" spans="4:11" ht="14.25" customHeight="1" x14ac:dyDescent="0.3">
      <c r="D684" s="2"/>
      <c r="F684" s="2"/>
      <c r="G684" s="2"/>
      <c r="H684" s="2"/>
      <c r="K684" s="24"/>
    </row>
    <row r="685" spans="4:11" ht="14.25" customHeight="1" x14ac:dyDescent="0.3">
      <c r="D685" s="2"/>
      <c r="F685" s="2"/>
      <c r="G685" s="2"/>
      <c r="H685" s="2"/>
      <c r="K685" s="24"/>
    </row>
    <row r="686" spans="4:11" ht="14.25" customHeight="1" x14ac:dyDescent="0.3">
      <c r="D686" s="2"/>
      <c r="F686" s="2"/>
      <c r="G686" s="2"/>
      <c r="H686" s="2"/>
      <c r="K686" s="24"/>
    </row>
    <row r="687" spans="4:11" ht="14.25" customHeight="1" x14ac:dyDescent="0.3">
      <c r="D687" s="2"/>
      <c r="F687" s="2"/>
      <c r="G687" s="2"/>
      <c r="H687" s="2"/>
      <c r="K687" s="24"/>
    </row>
    <row r="688" spans="4:11" ht="14.25" customHeight="1" x14ac:dyDescent="0.3">
      <c r="D688" s="2"/>
      <c r="F688" s="2"/>
      <c r="G688" s="2"/>
      <c r="H688" s="2"/>
      <c r="K688" s="24"/>
    </row>
    <row r="689" spans="4:11" ht="14.25" customHeight="1" x14ac:dyDescent="0.3">
      <c r="D689" s="2"/>
      <c r="F689" s="2"/>
      <c r="G689" s="2"/>
      <c r="H689" s="2"/>
      <c r="K689" s="24"/>
    </row>
    <row r="690" spans="4:11" ht="14.25" customHeight="1" x14ac:dyDescent="0.3">
      <c r="D690" s="2"/>
      <c r="F690" s="2"/>
      <c r="G690" s="2"/>
      <c r="H690" s="2"/>
      <c r="K690" s="24"/>
    </row>
    <row r="691" spans="4:11" ht="14.25" customHeight="1" x14ac:dyDescent="0.3">
      <c r="D691" s="2"/>
      <c r="F691" s="2"/>
      <c r="G691" s="2"/>
      <c r="H691" s="2"/>
      <c r="K691" s="24"/>
    </row>
    <row r="692" spans="4:11" ht="14.25" customHeight="1" x14ac:dyDescent="0.3">
      <c r="D692" s="2"/>
      <c r="F692" s="2"/>
      <c r="G692" s="2"/>
      <c r="H692" s="2"/>
      <c r="K692" s="24"/>
    </row>
    <row r="693" spans="4:11" ht="14.25" customHeight="1" x14ac:dyDescent="0.3">
      <c r="D693" s="2"/>
      <c r="F693" s="2"/>
      <c r="G693" s="2"/>
      <c r="H693" s="2"/>
      <c r="K693" s="24"/>
    </row>
    <row r="694" spans="4:11" ht="14.25" customHeight="1" x14ac:dyDescent="0.3">
      <c r="D694" s="2"/>
      <c r="F694" s="2"/>
      <c r="G694" s="2"/>
      <c r="H694" s="2"/>
      <c r="K694" s="24"/>
    </row>
    <row r="695" spans="4:11" ht="14.25" customHeight="1" x14ac:dyDescent="0.3">
      <c r="D695" s="2"/>
      <c r="F695" s="2"/>
      <c r="G695" s="2"/>
      <c r="H695" s="2"/>
      <c r="K695" s="24"/>
    </row>
    <row r="696" spans="4:11" ht="14.25" customHeight="1" x14ac:dyDescent="0.3">
      <c r="D696" s="2"/>
      <c r="F696" s="2"/>
      <c r="G696" s="2"/>
      <c r="H696" s="2"/>
      <c r="K696" s="24"/>
    </row>
    <row r="697" spans="4:11" ht="14.25" customHeight="1" x14ac:dyDescent="0.3">
      <c r="D697" s="2"/>
      <c r="F697" s="2"/>
      <c r="G697" s="2"/>
      <c r="H697" s="2"/>
      <c r="K697" s="24"/>
    </row>
    <row r="698" spans="4:11" ht="14.25" customHeight="1" x14ac:dyDescent="0.3">
      <c r="D698" s="2"/>
      <c r="F698" s="2"/>
      <c r="G698" s="2"/>
      <c r="H698" s="2"/>
      <c r="K698" s="24"/>
    </row>
    <row r="699" spans="4:11" ht="14.25" customHeight="1" x14ac:dyDescent="0.3">
      <c r="D699" s="2"/>
      <c r="F699" s="2"/>
      <c r="G699" s="2"/>
      <c r="H699" s="2"/>
      <c r="K699" s="24"/>
    </row>
    <row r="700" spans="4:11" ht="14.25" customHeight="1" x14ac:dyDescent="0.3">
      <c r="D700" s="2"/>
      <c r="F700" s="2"/>
      <c r="G700" s="2"/>
      <c r="H700" s="2"/>
      <c r="K700" s="24"/>
    </row>
    <row r="701" spans="4:11" ht="14.25" customHeight="1" x14ac:dyDescent="0.3">
      <c r="D701" s="2"/>
      <c r="F701" s="2"/>
      <c r="G701" s="2"/>
      <c r="H701" s="2"/>
      <c r="K701" s="24"/>
    </row>
    <row r="702" spans="4:11" ht="14.25" customHeight="1" x14ac:dyDescent="0.3">
      <c r="D702" s="2"/>
      <c r="F702" s="2"/>
      <c r="G702" s="2"/>
      <c r="H702" s="2"/>
      <c r="K702" s="24"/>
    </row>
    <row r="703" spans="4:11" ht="14.25" customHeight="1" x14ac:dyDescent="0.3">
      <c r="D703" s="2"/>
      <c r="F703" s="2"/>
      <c r="G703" s="2"/>
      <c r="H703" s="2"/>
      <c r="K703" s="24"/>
    </row>
    <row r="704" spans="4:11" ht="14.25" customHeight="1" x14ac:dyDescent="0.3">
      <c r="D704" s="2"/>
      <c r="F704" s="2"/>
      <c r="G704" s="2"/>
      <c r="H704" s="2"/>
      <c r="K704" s="24"/>
    </row>
    <row r="705" spans="4:11" ht="14.25" customHeight="1" x14ac:dyDescent="0.3">
      <c r="D705" s="2"/>
      <c r="F705" s="2"/>
      <c r="G705" s="2"/>
      <c r="H705" s="2"/>
      <c r="K705" s="24"/>
    </row>
    <row r="706" spans="4:11" ht="14.25" customHeight="1" x14ac:dyDescent="0.3">
      <c r="D706" s="2"/>
      <c r="F706" s="2"/>
      <c r="G706" s="2"/>
      <c r="H706" s="2"/>
      <c r="K706" s="24"/>
    </row>
    <row r="707" spans="4:11" ht="14.25" customHeight="1" x14ac:dyDescent="0.3">
      <c r="D707" s="2"/>
      <c r="F707" s="2"/>
      <c r="G707" s="2"/>
      <c r="H707" s="2"/>
      <c r="K707" s="24"/>
    </row>
    <row r="708" spans="4:11" ht="14.25" customHeight="1" x14ac:dyDescent="0.3">
      <c r="D708" s="2"/>
      <c r="F708" s="2"/>
      <c r="G708" s="2"/>
      <c r="H708" s="2"/>
      <c r="K708" s="24"/>
    </row>
    <row r="709" spans="4:11" ht="14.25" customHeight="1" x14ac:dyDescent="0.3">
      <c r="D709" s="2"/>
      <c r="F709" s="2"/>
      <c r="G709" s="2"/>
      <c r="H709" s="2"/>
      <c r="K709" s="24"/>
    </row>
    <row r="710" spans="4:11" ht="14.25" customHeight="1" x14ac:dyDescent="0.3">
      <c r="D710" s="2"/>
      <c r="F710" s="2"/>
      <c r="G710" s="2"/>
      <c r="H710" s="2"/>
      <c r="K710" s="24"/>
    </row>
    <row r="711" spans="4:11" ht="14.25" customHeight="1" x14ac:dyDescent="0.3">
      <c r="D711" s="2"/>
      <c r="F711" s="2"/>
      <c r="G711" s="2"/>
      <c r="H711" s="2"/>
      <c r="K711" s="24"/>
    </row>
    <row r="712" spans="4:11" ht="14.25" customHeight="1" x14ac:dyDescent="0.3">
      <c r="D712" s="2"/>
      <c r="F712" s="2"/>
      <c r="G712" s="2"/>
      <c r="H712" s="2"/>
      <c r="K712" s="24"/>
    </row>
    <row r="713" spans="4:11" ht="14.25" customHeight="1" x14ac:dyDescent="0.3">
      <c r="D713" s="2"/>
      <c r="F713" s="2"/>
      <c r="G713" s="2"/>
      <c r="H713" s="2"/>
      <c r="K713" s="24"/>
    </row>
    <row r="714" spans="4:11" ht="14.25" customHeight="1" x14ac:dyDescent="0.3">
      <c r="D714" s="2"/>
      <c r="F714" s="2"/>
      <c r="G714" s="2"/>
      <c r="H714" s="2"/>
      <c r="K714" s="24"/>
    </row>
    <row r="715" spans="4:11" ht="14.25" customHeight="1" x14ac:dyDescent="0.3">
      <c r="D715" s="2"/>
      <c r="F715" s="2"/>
      <c r="G715" s="2"/>
      <c r="H715" s="2"/>
      <c r="K715" s="24"/>
    </row>
    <row r="716" spans="4:11" ht="14.25" customHeight="1" x14ac:dyDescent="0.3">
      <c r="D716" s="2"/>
      <c r="F716" s="2"/>
      <c r="G716" s="2"/>
      <c r="H716" s="2"/>
      <c r="K716" s="24"/>
    </row>
    <row r="717" spans="4:11" ht="14.25" customHeight="1" x14ac:dyDescent="0.3">
      <c r="D717" s="2"/>
      <c r="F717" s="2"/>
      <c r="G717" s="2"/>
      <c r="H717" s="2"/>
      <c r="K717" s="24"/>
    </row>
    <row r="718" spans="4:11" ht="14.25" customHeight="1" x14ac:dyDescent="0.3">
      <c r="D718" s="2"/>
      <c r="F718" s="2"/>
      <c r="G718" s="2"/>
      <c r="H718" s="2"/>
      <c r="K718" s="24"/>
    </row>
    <row r="719" spans="4:11" ht="14.25" customHeight="1" x14ac:dyDescent="0.3">
      <c r="D719" s="2"/>
      <c r="F719" s="2"/>
      <c r="G719" s="2"/>
      <c r="H719" s="2"/>
      <c r="K719" s="24"/>
    </row>
    <row r="720" spans="4:11" ht="14.25" customHeight="1" x14ac:dyDescent="0.3">
      <c r="D720" s="2"/>
      <c r="F720" s="2"/>
      <c r="G720" s="2"/>
      <c r="H720" s="2"/>
      <c r="K720" s="24"/>
    </row>
    <row r="721" spans="4:11" ht="14.25" customHeight="1" x14ac:dyDescent="0.3">
      <c r="D721" s="2"/>
      <c r="F721" s="2"/>
      <c r="G721" s="2"/>
      <c r="H721" s="2"/>
      <c r="K721" s="24"/>
    </row>
    <row r="722" spans="4:11" ht="14.25" customHeight="1" x14ac:dyDescent="0.3">
      <c r="D722" s="2"/>
      <c r="F722" s="2"/>
      <c r="G722" s="2"/>
      <c r="H722" s="2"/>
      <c r="K722" s="24"/>
    </row>
    <row r="723" spans="4:11" ht="14.25" customHeight="1" x14ac:dyDescent="0.3">
      <c r="D723" s="2"/>
      <c r="F723" s="2"/>
      <c r="G723" s="2"/>
      <c r="H723" s="2"/>
      <c r="K723" s="24"/>
    </row>
    <row r="724" spans="4:11" ht="14.25" customHeight="1" x14ac:dyDescent="0.3">
      <c r="D724" s="2"/>
      <c r="F724" s="2"/>
      <c r="G724" s="2"/>
      <c r="H724" s="2"/>
      <c r="K724" s="24"/>
    </row>
    <row r="725" spans="4:11" ht="14.25" customHeight="1" x14ac:dyDescent="0.3">
      <c r="D725" s="2"/>
      <c r="F725" s="2"/>
      <c r="G725" s="2"/>
      <c r="H725" s="2"/>
      <c r="K725" s="24"/>
    </row>
    <row r="726" spans="4:11" ht="14.25" customHeight="1" x14ac:dyDescent="0.3">
      <c r="D726" s="2"/>
      <c r="F726" s="2"/>
      <c r="G726" s="2"/>
      <c r="H726" s="2"/>
      <c r="K726" s="24"/>
    </row>
    <row r="727" spans="4:11" ht="14.25" customHeight="1" x14ac:dyDescent="0.3">
      <c r="D727" s="2"/>
      <c r="F727" s="2"/>
      <c r="G727" s="2"/>
      <c r="H727" s="2"/>
      <c r="K727" s="24"/>
    </row>
    <row r="728" spans="4:11" ht="14.25" customHeight="1" x14ac:dyDescent="0.3">
      <c r="D728" s="2"/>
      <c r="F728" s="2"/>
      <c r="G728" s="2"/>
      <c r="H728" s="2"/>
      <c r="K728" s="24"/>
    </row>
    <row r="729" spans="4:11" ht="14.25" customHeight="1" x14ac:dyDescent="0.3">
      <c r="D729" s="2"/>
      <c r="F729" s="2"/>
      <c r="G729" s="2"/>
      <c r="H729" s="2"/>
      <c r="K729" s="24"/>
    </row>
    <row r="730" spans="4:11" ht="14.25" customHeight="1" x14ac:dyDescent="0.3">
      <c r="D730" s="2"/>
      <c r="F730" s="2"/>
      <c r="G730" s="2"/>
      <c r="H730" s="2"/>
      <c r="K730" s="24"/>
    </row>
    <row r="731" spans="4:11" ht="14.25" customHeight="1" x14ac:dyDescent="0.3">
      <c r="D731" s="2"/>
      <c r="F731" s="2"/>
      <c r="G731" s="2"/>
      <c r="H731" s="2"/>
      <c r="K731" s="24"/>
    </row>
    <row r="732" spans="4:11" ht="14.25" customHeight="1" x14ac:dyDescent="0.3">
      <c r="D732" s="2"/>
      <c r="F732" s="2"/>
      <c r="G732" s="2"/>
      <c r="H732" s="2"/>
      <c r="K732" s="24"/>
    </row>
    <row r="733" spans="4:11" ht="14.25" customHeight="1" x14ac:dyDescent="0.3">
      <c r="D733" s="2"/>
      <c r="F733" s="2"/>
      <c r="G733" s="2"/>
      <c r="H733" s="2"/>
      <c r="K733" s="24"/>
    </row>
    <row r="734" spans="4:11" ht="14.25" customHeight="1" x14ac:dyDescent="0.3">
      <c r="D734" s="2"/>
      <c r="F734" s="2"/>
      <c r="G734" s="2"/>
      <c r="H734" s="2"/>
      <c r="K734" s="24"/>
    </row>
    <row r="735" spans="4:11" ht="14.25" customHeight="1" x14ac:dyDescent="0.3">
      <c r="D735" s="2"/>
      <c r="F735" s="2"/>
      <c r="G735" s="2"/>
      <c r="H735" s="2"/>
      <c r="K735" s="24"/>
    </row>
    <row r="736" spans="4:11" ht="14.25" customHeight="1" x14ac:dyDescent="0.3">
      <c r="D736" s="2"/>
      <c r="F736" s="2"/>
      <c r="G736" s="2"/>
      <c r="H736" s="2"/>
      <c r="K736" s="24"/>
    </row>
    <row r="737" spans="4:11" ht="14.25" customHeight="1" x14ac:dyDescent="0.3">
      <c r="D737" s="2"/>
      <c r="F737" s="2"/>
      <c r="G737" s="2"/>
      <c r="H737" s="2"/>
      <c r="K737" s="24"/>
    </row>
    <row r="738" spans="4:11" ht="14.25" customHeight="1" x14ac:dyDescent="0.3">
      <c r="D738" s="2"/>
      <c r="F738" s="2"/>
      <c r="G738" s="2"/>
      <c r="H738" s="2"/>
      <c r="K738" s="24"/>
    </row>
    <row r="739" spans="4:11" ht="14.25" customHeight="1" x14ac:dyDescent="0.3">
      <c r="D739" s="2"/>
      <c r="F739" s="2"/>
      <c r="G739" s="2"/>
      <c r="H739" s="2"/>
      <c r="K739" s="24"/>
    </row>
    <row r="740" spans="4:11" ht="14.25" customHeight="1" x14ac:dyDescent="0.3">
      <c r="D740" s="2"/>
      <c r="F740" s="2"/>
      <c r="G740" s="2"/>
      <c r="H740" s="2"/>
      <c r="K740" s="24"/>
    </row>
    <row r="741" spans="4:11" ht="14.25" customHeight="1" x14ac:dyDescent="0.3">
      <c r="D741" s="2"/>
      <c r="F741" s="2"/>
      <c r="G741" s="2"/>
      <c r="H741" s="2"/>
      <c r="K741" s="24"/>
    </row>
    <row r="742" spans="4:11" ht="14.25" customHeight="1" x14ac:dyDescent="0.3">
      <c r="D742" s="2"/>
      <c r="F742" s="2"/>
      <c r="G742" s="2"/>
      <c r="H742" s="2"/>
      <c r="K742" s="24"/>
    </row>
    <row r="743" spans="4:11" ht="14.25" customHeight="1" x14ac:dyDescent="0.3">
      <c r="D743" s="2"/>
      <c r="F743" s="2"/>
      <c r="G743" s="2"/>
      <c r="H743" s="2"/>
      <c r="K743" s="24"/>
    </row>
    <row r="744" spans="4:11" ht="14.25" customHeight="1" x14ac:dyDescent="0.3">
      <c r="D744" s="2"/>
      <c r="F744" s="2"/>
      <c r="G744" s="2"/>
      <c r="H744" s="2"/>
      <c r="K744" s="24"/>
    </row>
    <row r="745" spans="4:11" ht="14.25" customHeight="1" x14ac:dyDescent="0.3">
      <c r="D745" s="2"/>
      <c r="F745" s="2"/>
      <c r="G745" s="2"/>
      <c r="H745" s="2"/>
      <c r="K745" s="24"/>
    </row>
    <row r="746" spans="4:11" ht="14.25" customHeight="1" x14ac:dyDescent="0.3">
      <c r="D746" s="2"/>
      <c r="F746" s="2"/>
      <c r="G746" s="2"/>
      <c r="H746" s="2"/>
      <c r="K746" s="24"/>
    </row>
    <row r="747" spans="4:11" ht="14.25" customHeight="1" x14ac:dyDescent="0.3">
      <c r="D747" s="2"/>
      <c r="F747" s="2"/>
      <c r="G747" s="2"/>
      <c r="H747" s="2"/>
      <c r="K747" s="24"/>
    </row>
    <row r="748" spans="4:11" ht="14.25" customHeight="1" x14ac:dyDescent="0.3">
      <c r="D748" s="2"/>
      <c r="F748" s="2"/>
      <c r="G748" s="2"/>
      <c r="H748" s="2"/>
      <c r="K748" s="24"/>
    </row>
    <row r="749" spans="4:11" ht="14.25" customHeight="1" x14ac:dyDescent="0.3">
      <c r="D749" s="2"/>
      <c r="F749" s="2"/>
      <c r="G749" s="2"/>
      <c r="H749" s="2"/>
      <c r="K749" s="24"/>
    </row>
    <row r="750" spans="4:11" ht="14.25" customHeight="1" x14ac:dyDescent="0.3">
      <c r="D750" s="2"/>
      <c r="F750" s="2"/>
      <c r="G750" s="2"/>
      <c r="H750" s="2"/>
      <c r="K750" s="24"/>
    </row>
    <row r="751" spans="4:11" ht="14.25" customHeight="1" x14ac:dyDescent="0.3">
      <c r="D751" s="2"/>
      <c r="F751" s="2"/>
      <c r="G751" s="2"/>
      <c r="H751" s="2"/>
      <c r="K751" s="24"/>
    </row>
    <row r="752" spans="4:11" ht="14.25" customHeight="1" x14ac:dyDescent="0.3">
      <c r="D752" s="2"/>
      <c r="F752" s="2"/>
      <c r="G752" s="2"/>
      <c r="H752" s="2"/>
      <c r="K752" s="24"/>
    </row>
    <row r="753" spans="4:11" ht="14.25" customHeight="1" x14ac:dyDescent="0.3">
      <c r="D753" s="2"/>
      <c r="F753" s="2"/>
      <c r="G753" s="2"/>
      <c r="H753" s="2"/>
      <c r="K753" s="24"/>
    </row>
    <row r="754" spans="4:11" ht="14.25" customHeight="1" x14ac:dyDescent="0.3">
      <c r="D754" s="2"/>
      <c r="F754" s="2"/>
      <c r="G754" s="2"/>
      <c r="H754" s="2"/>
      <c r="K754" s="24"/>
    </row>
    <row r="755" spans="4:11" ht="14.25" customHeight="1" x14ac:dyDescent="0.3">
      <c r="D755" s="2"/>
      <c r="F755" s="2"/>
      <c r="G755" s="2"/>
      <c r="H755" s="2"/>
      <c r="K755" s="24"/>
    </row>
    <row r="756" spans="4:11" ht="14.25" customHeight="1" x14ac:dyDescent="0.3">
      <c r="D756" s="2"/>
      <c r="F756" s="2"/>
      <c r="G756" s="2"/>
      <c r="H756" s="2"/>
      <c r="K756" s="24"/>
    </row>
    <row r="757" spans="4:11" ht="14.25" customHeight="1" x14ac:dyDescent="0.3">
      <c r="D757" s="2"/>
      <c r="F757" s="2"/>
      <c r="G757" s="2"/>
      <c r="H757" s="2"/>
      <c r="K757" s="24"/>
    </row>
    <row r="758" spans="4:11" ht="14.25" customHeight="1" x14ac:dyDescent="0.3">
      <c r="D758" s="2"/>
      <c r="F758" s="2"/>
      <c r="G758" s="2"/>
      <c r="H758" s="2"/>
      <c r="K758" s="24"/>
    </row>
    <row r="759" spans="4:11" ht="14.25" customHeight="1" x14ac:dyDescent="0.3">
      <c r="D759" s="2"/>
      <c r="F759" s="2"/>
      <c r="G759" s="2"/>
      <c r="H759" s="2"/>
      <c r="K759" s="24"/>
    </row>
    <row r="760" spans="4:11" ht="14.25" customHeight="1" x14ac:dyDescent="0.3">
      <c r="D760" s="2"/>
      <c r="F760" s="2"/>
      <c r="G760" s="2"/>
      <c r="H760" s="2"/>
      <c r="K760" s="24"/>
    </row>
    <row r="761" spans="4:11" ht="14.25" customHeight="1" x14ac:dyDescent="0.3">
      <c r="D761" s="2"/>
      <c r="F761" s="2"/>
      <c r="G761" s="2"/>
      <c r="H761" s="2"/>
      <c r="K761" s="24"/>
    </row>
    <row r="762" spans="4:11" ht="14.25" customHeight="1" x14ac:dyDescent="0.3">
      <c r="D762" s="2"/>
      <c r="F762" s="2"/>
      <c r="G762" s="2"/>
      <c r="H762" s="2"/>
      <c r="K762" s="24"/>
    </row>
    <row r="763" spans="4:11" ht="14.25" customHeight="1" x14ac:dyDescent="0.3">
      <c r="D763" s="2"/>
      <c r="F763" s="2"/>
      <c r="G763" s="2"/>
      <c r="H763" s="2"/>
      <c r="K763" s="24"/>
    </row>
    <row r="764" spans="4:11" ht="14.25" customHeight="1" x14ac:dyDescent="0.3">
      <c r="D764" s="2"/>
      <c r="F764" s="2"/>
      <c r="G764" s="2"/>
      <c r="H764" s="2"/>
      <c r="K764" s="24"/>
    </row>
    <row r="765" spans="4:11" ht="14.25" customHeight="1" x14ac:dyDescent="0.3">
      <c r="D765" s="2"/>
      <c r="F765" s="2"/>
      <c r="G765" s="2"/>
      <c r="H765" s="2"/>
      <c r="K765" s="24"/>
    </row>
    <row r="766" spans="4:11" ht="14.25" customHeight="1" x14ac:dyDescent="0.3">
      <c r="D766" s="2"/>
      <c r="F766" s="2"/>
      <c r="G766" s="2"/>
      <c r="H766" s="2"/>
      <c r="K766" s="24"/>
    </row>
    <row r="767" spans="4:11" ht="14.25" customHeight="1" x14ac:dyDescent="0.3">
      <c r="D767" s="2"/>
      <c r="F767" s="2"/>
      <c r="G767" s="2"/>
      <c r="H767" s="2"/>
      <c r="K767" s="24"/>
    </row>
    <row r="768" spans="4:11" ht="14.25" customHeight="1" x14ac:dyDescent="0.3">
      <c r="D768" s="2"/>
      <c r="F768" s="2"/>
      <c r="G768" s="2"/>
      <c r="H768" s="2"/>
      <c r="K768" s="24"/>
    </row>
    <row r="769" spans="4:11" ht="14.25" customHeight="1" x14ac:dyDescent="0.3">
      <c r="D769" s="2"/>
      <c r="F769" s="2"/>
      <c r="G769" s="2"/>
      <c r="H769" s="2"/>
      <c r="K769" s="24"/>
    </row>
    <row r="770" spans="4:11" ht="14.25" customHeight="1" x14ac:dyDescent="0.3">
      <c r="D770" s="2"/>
      <c r="F770" s="2"/>
      <c r="G770" s="2"/>
      <c r="H770" s="2"/>
      <c r="K770" s="24"/>
    </row>
    <row r="771" spans="4:11" ht="14.25" customHeight="1" x14ac:dyDescent="0.3">
      <c r="D771" s="2"/>
      <c r="F771" s="2"/>
      <c r="G771" s="2"/>
      <c r="H771" s="2"/>
      <c r="K771" s="24"/>
    </row>
    <row r="772" spans="4:11" ht="14.25" customHeight="1" x14ac:dyDescent="0.3">
      <c r="D772" s="2"/>
      <c r="F772" s="2"/>
      <c r="G772" s="2"/>
      <c r="H772" s="2"/>
      <c r="K772" s="24"/>
    </row>
    <row r="773" spans="4:11" ht="14.25" customHeight="1" x14ac:dyDescent="0.3">
      <c r="D773" s="2"/>
      <c r="F773" s="2"/>
      <c r="G773" s="2"/>
      <c r="H773" s="2"/>
      <c r="K773" s="24"/>
    </row>
    <row r="774" spans="4:11" ht="14.25" customHeight="1" x14ac:dyDescent="0.3">
      <c r="D774" s="2"/>
      <c r="F774" s="2"/>
      <c r="G774" s="2"/>
      <c r="H774" s="2"/>
      <c r="K774" s="24"/>
    </row>
    <row r="775" spans="4:11" ht="14.25" customHeight="1" x14ac:dyDescent="0.3">
      <c r="D775" s="2"/>
      <c r="F775" s="2"/>
      <c r="G775" s="2"/>
      <c r="H775" s="2"/>
      <c r="K775" s="24"/>
    </row>
    <row r="776" spans="4:11" ht="14.25" customHeight="1" x14ac:dyDescent="0.3">
      <c r="D776" s="2"/>
      <c r="F776" s="2"/>
      <c r="G776" s="2"/>
      <c r="H776" s="2"/>
      <c r="K776" s="24"/>
    </row>
    <row r="777" spans="4:11" ht="14.25" customHeight="1" x14ac:dyDescent="0.3">
      <c r="D777" s="2"/>
      <c r="F777" s="2"/>
      <c r="G777" s="2"/>
      <c r="H777" s="2"/>
      <c r="K777" s="24"/>
    </row>
    <row r="778" spans="4:11" ht="14.25" customHeight="1" x14ac:dyDescent="0.3">
      <c r="D778" s="2"/>
      <c r="F778" s="2"/>
      <c r="G778" s="2"/>
      <c r="H778" s="2"/>
      <c r="K778" s="24"/>
    </row>
    <row r="779" spans="4:11" ht="14.25" customHeight="1" x14ac:dyDescent="0.3">
      <c r="D779" s="2"/>
      <c r="F779" s="2"/>
      <c r="G779" s="2"/>
      <c r="H779" s="2"/>
      <c r="K779" s="24"/>
    </row>
    <row r="780" spans="4:11" ht="14.25" customHeight="1" x14ac:dyDescent="0.3">
      <c r="D780" s="2"/>
      <c r="F780" s="2"/>
      <c r="G780" s="2"/>
      <c r="H780" s="2"/>
      <c r="K780" s="24"/>
    </row>
    <row r="781" spans="4:11" ht="14.25" customHeight="1" x14ac:dyDescent="0.3">
      <c r="D781" s="2"/>
      <c r="F781" s="2"/>
      <c r="G781" s="2"/>
      <c r="H781" s="2"/>
      <c r="K781" s="24"/>
    </row>
    <row r="782" spans="4:11" ht="14.25" customHeight="1" x14ac:dyDescent="0.3">
      <c r="D782" s="2"/>
      <c r="F782" s="2"/>
      <c r="G782" s="2"/>
      <c r="H782" s="2"/>
      <c r="K782" s="24"/>
    </row>
    <row r="783" spans="4:11" ht="14.25" customHeight="1" x14ac:dyDescent="0.3">
      <c r="D783" s="2"/>
      <c r="F783" s="2"/>
      <c r="G783" s="2"/>
      <c r="H783" s="2"/>
      <c r="K783" s="24"/>
    </row>
    <row r="784" spans="4:11" ht="14.25" customHeight="1" x14ac:dyDescent="0.3">
      <c r="D784" s="2"/>
      <c r="F784" s="2"/>
      <c r="G784" s="2"/>
      <c r="H784" s="2"/>
      <c r="K784" s="24"/>
    </row>
    <row r="785" spans="4:11" ht="14.25" customHeight="1" x14ac:dyDescent="0.3">
      <c r="D785" s="2"/>
      <c r="F785" s="2"/>
      <c r="G785" s="2"/>
      <c r="H785" s="2"/>
      <c r="K785" s="24"/>
    </row>
    <row r="786" spans="4:11" ht="14.25" customHeight="1" x14ac:dyDescent="0.3">
      <c r="D786" s="2"/>
      <c r="F786" s="2"/>
      <c r="G786" s="2"/>
      <c r="H786" s="2"/>
      <c r="K786" s="24"/>
    </row>
    <row r="787" spans="4:11" ht="14.25" customHeight="1" x14ac:dyDescent="0.3">
      <c r="D787" s="2"/>
      <c r="F787" s="2"/>
      <c r="G787" s="2"/>
      <c r="H787" s="2"/>
      <c r="K787" s="24"/>
    </row>
    <row r="788" spans="4:11" ht="14.25" customHeight="1" x14ac:dyDescent="0.3">
      <c r="D788" s="2"/>
      <c r="F788" s="2"/>
      <c r="G788" s="2"/>
      <c r="H788" s="2"/>
      <c r="K788" s="24"/>
    </row>
    <row r="789" spans="4:11" ht="14.25" customHeight="1" x14ac:dyDescent="0.3">
      <c r="D789" s="2"/>
      <c r="F789" s="2"/>
      <c r="G789" s="2"/>
      <c r="H789" s="2"/>
      <c r="K789" s="24"/>
    </row>
    <row r="790" spans="4:11" ht="14.25" customHeight="1" x14ac:dyDescent="0.3">
      <c r="D790" s="2"/>
      <c r="F790" s="2"/>
      <c r="G790" s="2"/>
      <c r="H790" s="2"/>
      <c r="K790" s="24"/>
    </row>
    <row r="791" spans="4:11" ht="14.25" customHeight="1" x14ac:dyDescent="0.3">
      <c r="D791" s="2"/>
      <c r="F791" s="2"/>
      <c r="G791" s="2"/>
      <c r="H791" s="2"/>
      <c r="K791" s="24"/>
    </row>
    <row r="792" spans="4:11" ht="14.25" customHeight="1" x14ac:dyDescent="0.3">
      <c r="D792" s="2"/>
      <c r="F792" s="2"/>
      <c r="G792" s="2"/>
      <c r="H792" s="2"/>
      <c r="K792" s="24"/>
    </row>
    <row r="793" spans="4:11" ht="14.25" customHeight="1" x14ac:dyDescent="0.3">
      <c r="D793" s="2"/>
      <c r="F793" s="2"/>
      <c r="G793" s="2"/>
      <c r="H793" s="2"/>
      <c r="K793" s="24"/>
    </row>
    <row r="794" spans="4:11" ht="14.25" customHeight="1" x14ac:dyDescent="0.3">
      <c r="D794" s="2"/>
      <c r="F794" s="2"/>
      <c r="G794" s="2"/>
      <c r="H794" s="2"/>
      <c r="K794" s="24"/>
    </row>
    <row r="795" spans="4:11" ht="14.25" customHeight="1" x14ac:dyDescent="0.3">
      <c r="D795" s="2"/>
      <c r="F795" s="2"/>
      <c r="G795" s="2"/>
      <c r="H795" s="2"/>
      <c r="K795" s="24"/>
    </row>
    <row r="796" spans="4:11" ht="14.25" customHeight="1" x14ac:dyDescent="0.3">
      <c r="D796" s="2"/>
      <c r="F796" s="2"/>
      <c r="G796" s="2"/>
      <c r="H796" s="2"/>
      <c r="K796" s="24"/>
    </row>
    <row r="797" spans="4:11" ht="14.25" customHeight="1" x14ac:dyDescent="0.3">
      <c r="D797" s="2"/>
      <c r="F797" s="2"/>
      <c r="G797" s="2"/>
      <c r="H797" s="2"/>
      <c r="K797" s="24"/>
    </row>
    <row r="798" spans="4:11" ht="14.25" customHeight="1" x14ac:dyDescent="0.3">
      <c r="D798" s="2"/>
      <c r="F798" s="2"/>
      <c r="G798" s="2"/>
      <c r="H798" s="2"/>
      <c r="K798" s="24"/>
    </row>
    <row r="799" spans="4:11" ht="14.25" customHeight="1" x14ac:dyDescent="0.3">
      <c r="D799" s="2"/>
      <c r="F799" s="2"/>
      <c r="G799" s="2"/>
      <c r="H799" s="2"/>
      <c r="K799" s="24"/>
    </row>
    <row r="800" spans="4:11" ht="14.25" customHeight="1" x14ac:dyDescent="0.3">
      <c r="D800" s="2"/>
      <c r="F800" s="2"/>
      <c r="G800" s="2"/>
      <c r="H800" s="2"/>
      <c r="K800" s="24"/>
    </row>
    <row r="801" spans="4:11" ht="14.25" customHeight="1" x14ac:dyDescent="0.3">
      <c r="D801" s="2"/>
      <c r="F801" s="2"/>
      <c r="G801" s="2"/>
      <c r="H801" s="2"/>
      <c r="K801" s="24"/>
    </row>
    <row r="802" spans="4:11" ht="14.25" customHeight="1" x14ac:dyDescent="0.3">
      <c r="D802" s="2"/>
      <c r="F802" s="2"/>
      <c r="G802" s="2"/>
      <c r="H802" s="2"/>
      <c r="K802" s="24"/>
    </row>
    <row r="803" spans="4:11" ht="14.25" customHeight="1" x14ac:dyDescent="0.3">
      <c r="D803" s="2"/>
      <c r="F803" s="2"/>
      <c r="G803" s="2"/>
      <c r="H803" s="2"/>
      <c r="K803" s="24"/>
    </row>
    <row r="804" spans="4:11" ht="14.25" customHeight="1" x14ac:dyDescent="0.3">
      <c r="D804" s="2"/>
      <c r="F804" s="2"/>
      <c r="G804" s="2"/>
      <c r="H804" s="2"/>
      <c r="K804" s="24"/>
    </row>
    <row r="805" spans="4:11" ht="14.25" customHeight="1" x14ac:dyDescent="0.3">
      <c r="D805" s="2"/>
      <c r="F805" s="2"/>
      <c r="G805" s="2"/>
      <c r="H805" s="2"/>
      <c r="K805" s="24"/>
    </row>
    <row r="806" spans="4:11" ht="14.25" customHeight="1" x14ac:dyDescent="0.3">
      <c r="D806" s="2"/>
      <c r="F806" s="2"/>
      <c r="G806" s="2"/>
      <c r="H806" s="2"/>
      <c r="K806" s="24"/>
    </row>
    <row r="807" spans="4:11" ht="14.25" customHeight="1" x14ac:dyDescent="0.3">
      <c r="D807" s="2"/>
      <c r="F807" s="2"/>
      <c r="G807" s="2"/>
      <c r="H807" s="2"/>
      <c r="K807" s="24"/>
    </row>
    <row r="808" spans="4:11" ht="14.25" customHeight="1" x14ac:dyDescent="0.3">
      <c r="D808" s="2"/>
      <c r="F808" s="2"/>
      <c r="G808" s="2"/>
      <c r="H808" s="2"/>
      <c r="K808" s="24"/>
    </row>
    <row r="809" spans="4:11" ht="14.25" customHeight="1" x14ac:dyDescent="0.3">
      <c r="D809" s="2"/>
      <c r="F809" s="2"/>
      <c r="G809" s="2"/>
      <c r="H809" s="2"/>
      <c r="K809" s="24"/>
    </row>
    <row r="810" spans="4:11" ht="14.25" customHeight="1" x14ac:dyDescent="0.3">
      <c r="D810" s="2"/>
      <c r="F810" s="2"/>
      <c r="G810" s="2"/>
      <c r="H810" s="2"/>
      <c r="K810" s="24"/>
    </row>
    <row r="811" spans="4:11" ht="14.25" customHeight="1" x14ac:dyDescent="0.3">
      <c r="D811" s="2"/>
      <c r="F811" s="2"/>
      <c r="G811" s="2"/>
      <c r="H811" s="2"/>
      <c r="K811" s="24"/>
    </row>
    <row r="812" spans="4:11" ht="14.25" customHeight="1" x14ac:dyDescent="0.3">
      <c r="D812" s="2"/>
      <c r="F812" s="2"/>
      <c r="G812" s="2"/>
      <c r="H812" s="2"/>
      <c r="K812" s="24"/>
    </row>
    <row r="813" spans="4:11" ht="14.25" customHeight="1" x14ac:dyDescent="0.3">
      <c r="D813" s="2"/>
      <c r="F813" s="2"/>
      <c r="G813" s="2"/>
      <c r="H813" s="2"/>
      <c r="K813" s="24"/>
    </row>
    <row r="814" spans="4:11" ht="14.25" customHeight="1" x14ac:dyDescent="0.3">
      <c r="D814" s="2"/>
      <c r="F814" s="2"/>
      <c r="G814" s="2"/>
      <c r="H814" s="2"/>
      <c r="K814" s="24"/>
    </row>
    <row r="815" spans="4:11" ht="14.25" customHeight="1" x14ac:dyDescent="0.3">
      <c r="D815" s="2"/>
      <c r="F815" s="2"/>
      <c r="G815" s="2"/>
      <c r="H815" s="2"/>
      <c r="K815" s="24"/>
    </row>
    <row r="816" spans="4:11" ht="14.25" customHeight="1" x14ac:dyDescent="0.3">
      <c r="D816" s="2"/>
      <c r="F816" s="2"/>
      <c r="G816" s="2"/>
      <c r="H816" s="2"/>
      <c r="K816" s="24"/>
    </row>
    <row r="817" spans="4:11" ht="14.25" customHeight="1" x14ac:dyDescent="0.3">
      <c r="D817" s="2"/>
      <c r="F817" s="2"/>
      <c r="G817" s="2"/>
      <c r="H817" s="2"/>
      <c r="K817" s="24"/>
    </row>
    <row r="818" spans="4:11" ht="14.25" customHeight="1" x14ac:dyDescent="0.3">
      <c r="D818" s="2"/>
      <c r="F818" s="2"/>
      <c r="G818" s="2"/>
      <c r="H818" s="2"/>
      <c r="K818" s="24"/>
    </row>
    <row r="819" spans="4:11" ht="14.25" customHeight="1" x14ac:dyDescent="0.3">
      <c r="D819" s="2"/>
      <c r="F819" s="2"/>
      <c r="G819" s="2"/>
      <c r="H819" s="2"/>
      <c r="K819" s="24"/>
    </row>
    <row r="820" spans="4:11" ht="14.25" customHeight="1" x14ac:dyDescent="0.3">
      <c r="D820" s="2"/>
      <c r="F820" s="2"/>
      <c r="G820" s="2"/>
      <c r="H820" s="2"/>
      <c r="K820" s="24"/>
    </row>
    <row r="821" spans="4:11" ht="14.25" customHeight="1" x14ac:dyDescent="0.3">
      <c r="D821" s="2"/>
      <c r="F821" s="2"/>
      <c r="G821" s="2"/>
      <c r="H821" s="2"/>
      <c r="K821" s="24"/>
    </row>
    <row r="822" spans="4:11" ht="14.25" customHeight="1" x14ac:dyDescent="0.3">
      <c r="D822" s="2"/>
      <c r="F822" s="2"/>
      <c r="G822" s="2"/>
      <c r="H822" s="2"/>
      <c r="K822" s="24"/>
    </row>
    <row r="823" spans="4:11" ht="14.25" customHeight="1" x14ac:dyDescent="0.3">
      <c r="D823" s="2"/>
      <c r="F823" s="2"/>
      <c r="G823" s="2"/>
      <c r="H823" s="2"/>
      <c r="K823" s="24"/>
    </row>
    <row r="824" spans="4:11" ht="14.25" customHeight="1" x14ac:dyDescent="0.3">
      <c r="D824" s="2"/>
      <c r="F824" s="2"/>
      <c r="G824" s="2"/>
      <c r="H824" s="2"/>
      <c r="K824" s="24"/>
    </row>
    <row r="825" spans="4:11" ht="14.25" customHeight="1" x14ac:dyDescent="0.3">
      <c r="D825" s="2"/>
      <c r="F825" s="2"/>
      <c r="G825" s="2"/>
      <c r="H825" s="2"/>
      <c r="K825" s="24"/>
    </row>
    <row r="826" spans="4:11" ht="14.25" customHeight="1" x14ac:dyDescent="0.3">
      <c r="D826" s="2"/>
      <c r="F826" s="2"/>
      <c r="G826" s="2"/>
      <c r="H826" s="2"/>
      <c r="K826" s="24"/>
    </row>
    <row r="827" spans="4:11" ht="14.25" customHeight="1" x14ac:dyDescent="0.3">
      <c r="D827" s="2"/>
      <c r="F827" s="2"/>
      <c r="G827" s="2"/>
      <c r="H827" s="2"/>
      <c r="K827" s="24"/>
    </row>
    <row r="828" spans="4:11" ht="14.25" customHeight="1" x14ac:dyDescent="0.3">
      <c r="D828" s="2"/>
      <c r="F828" s="2"/>
      <c r="G828" s="2"/>
      <c r="H828" s="2"/>
      <c r="K828" s="24"/>
    </row>
    <row r="829" spans="4:11" ht="14.25" customHeight="1" x14ac:dyDescent="0.3">
      <c r="D829" s="2"/>
      <c r="F829" s="2"/>
      <c r="G829" s="2"/>
      <c r="H829" s="2"/>
      <c r="K829" s="24"/>
    </row>
    <row r="830" spans="4:11" ht="14.25" customHeight="1" x14ac:dyDescent="0.3">
      <c r="D830" s="2"/>
      <c r="F830" s="2"/>
      <c r="G830" s="2"/>
      <c r="H830" s="2"/>
      <c r="K830" s="24"/>
    </row>
    <row r="831" spans="4:11" ht="14.25" customHeight="1" x14ac:dyDescent="0.3">
      <c r="D831" s="2"/>
      <c r="F831" s="2"/>
      <c r="G831" s="2"/>
      <c r="H831" s="2"/>
      <c r="K831" s="24"/>
    </row>
    <row r="832" spans="4:11" ht="14.25" customHeight="1" x14ac:dyDescent="0.3">
      <c r="D832" s="2"/>
      <c r="F832" s="2"/>
      <c r="G832" s="2"/>
      <c r="H832" s="2"/>
      <c r="K832" s="24"/>
    </row>
    <row r="833" spans="4:11" ht="14.25" customHeight="1" x14ac:dyDescent="0.3">
      <c r="D833" s="2"/>
      <c r="F833" s="2"/>
      <c r="G833" s="2"/>
      <c r="H833" s="2"/>
      <c r="K833" s="24"/>
    </row>
    <row r="834" spans="4:11" ht="14.25" customHeight="1" x14ac:dyDescent="0.3">
      <c r="D834" s="2"/>
      <c r="F834" s="2"/>
      <c r="G834" s="2"/>
      <c r="H834" s="2"/>
      <c r="K834" s="24"/>
    </row>
    <row r="835" spans="4:11" ht="14.25" customHeight="1" x14ac:dyDescent="0.3">
      <c r="D835" s="2"/>
      <c r="F835" s="2"/>
      <c r="G835" s="2"/>
      <c r="H835" s="2"/>
      <c r="K835" s="24"/>
    </row>
    <row r="836" spans="4:11" ht="14.25" customHeight="1" x14ac:dyDescent="0.3">
      <c r="D836" s="2"/>
      <c r="F836" s="2"/>
      <c r="G836" s="2"/>
      <c r="H836" s="2"/>
      <c r="K836" s="24"/>
    </row>
    <row r="837" spans="4:11" ht="14.25" customHeight="1" x14ac:dyDescent="0.3">
      <c r="D837" s="2"/>
      <c r="F837" s="2"/>
      <c r="G837" s="2"/>
      <c r="H837" s="2"/>
      <c r="K837" s="24"/>
    </row>
    <row r="838" spans="4:11" ht="14.25" customHeight="1" x14ac:dyDescent="0.3">
      <c r="D838" s="2"/>
      <c r="F838" s="2"/>
      <c r="G838" s="2"/>
      <c r="H838" s="2"/>
      <c r="K838" s="24"/>
    </row>
    <row r="839" spans="4:11" ht="14.25" customHeight="1" x14ac:dyDescent="0.3">
      <c r="D839" s="2"/>
      <c r="F839" s="2"/>
      <c r="G839" s="2"/>
      <c r="H839" s="2"/>
      <c r="K839" s="24"/>
    </row>
    <row r="840" spans="4:11" ht="14.25" customHeight="1" x14ac:dyDescent="0.3">
      <c r="D840" s="2"/>
      <c r="F840" s="2"/>
      <c r="G840" s="2"/>
      <c r="H840" s="2"/>
      <c r="K840" s="24"/>
    </row>
    <row r="841" spans="4:11" ht="14.25" customHeight="1" x14ac:dyDescent="0.3">
      <c r="D841" s="2"/>
      <c r="F841" s="2"/>
      <c r="G841" s="2"/>
      <c r="H841" s="2"/>
      <c r="K841" s="24"/>
    </row>
    <row r="842" spans="4:11" ht="14.25" customHeight="1" x14ac:dyDescent="0.3">
      <c r="D842" s="2"/>
      <c r="F842" s="2"/>
      <c r="G842" s="2"/>
      <c r="H842" s="2"/>
      <c r="K842" s="24"/>
    </row>
    <row r="843" spans="4:11" ht="14.25" customHeight="1" x14ac:dyDescent="0.3">
      <c r="D843" s="2"/>
      <c r="F843" s="2"/>
      <c r="G843" s="2"/>
      <c r="H843" s="2"/>
      <c r="K843" s="24"/>
    </row>
    <row r="844" spans="4:11" ht="14.25" customHeight="1" x14ac:dyDescent="0.3">
      <c r="D844" s="2"/>
      <c r="F844" s="2"/>
      <c r="G844" s="2"/>
      <c r="H844" s="2"/>
      <c r="K844" s="24"/>
    </row>
    <row r="845" spans="4:11" ht="14.25" customHeight="1" x14ac:dyDescent="0.3">
      <c r="D845" s="2"/>
      <c r="F845" s="2"/>
      <c r="G845" s="2"/>
      <c r="H845" s="2"/>
      <c r="K845" s="24"/>
    </row>
    <row r="846" spans="4:11" ht="14.25" customHeight="1" x14ac:dyDescent="0.3">
      <c r="D846" s="2"/>
      <c r="F846" s="2"/>
      <c r="G846" s="2"/>
      <c r="H846" s="2"/>
      <c r="K846" s="24"/>
    </row>
    <row r="847" spans="4:11" ht="14.25" customHeight="1" x14ac:dyDescent="0.3">
      <c r="D847" s="2"/>
      <c r="F847" s="2"/>
      <c r="G847" s="2"/>
      <c r="H847" s="2"/>
      <c r="K847" s="24"/>
    </row>
    <row r="848" spans="4:11" ht="14.25" customHeight="1" x14ac:dyDescent="0.3">
      <c r="D848" s="2"/>
      <c r="F848" s="2"/>
      <c r="G848" s="2"/>
      <c r="H848" s="2"/>
      <c r="K848" s="24"/>
    </row>
    <row r="849" spans="4:11" ht="14.25" customHeight="1" x14ac:dyDescent="0.3">
      <c r="D849" s="2"/>
      <c r="F849" s="2"/>
      <c r="G849" s="2"/>
      <c r="H849" s="2"/>
      <c r="K849" s="24"/>
    </row>
    <row r="850" spans="4:11" ht="14.25" customHeight="1" x14ac:dyDescent="0.3">
      <c r="D850" s="2"/>
      <c r="F850" s="2"/>
      <c r="G850" s="2"/>
      <c r="H850" s="2"/>
      <c r="K850" s="24"/>
    </row>
    <row r="851" spans="4:11" ht="14.25" customHeight="1" x14ac:dyDescent="0.3">
      <c r="D851" s="2"/>
      <c r="F851" s="2"/>
      <c r="G851" s="2"/>
      <c r="H851" s="2"/>
      <c r="K851" s="24"/>
    </row>
    <row r="852" spans="4:11" ht="14.25" customHeight="1" x14ac:dyDescent="0.3">
      <c r="D852" s="2"/>
      <c r="F852" s="2"/>
      <c r="G852" s="2"/>
      <c r="H852" s="2"/>
      <c r="K852" s="24"/>
    </row>
    <row r="853" spans="4:11" ht="14.25" customHeight="1" x14ac:dyDescent="0.3">
      <c r="D853" s="2"/>
      <c r="F853" s="2"/>
      <c r="G853" s="2"/>
      <c r="H853" s="2"/>
      <c r="K853" s="24"/>
    </row>
    <row r="854" spans="4:11" ht="14.25" customHeight="1" x14ac:dyDescent="0.3">
      <c r="D854" s="2"/>
      <c r="F854" s="2"/>
      <c r="G854" s="2"/>
      <c r="H854" s="2"/>
      <c r="K854" s="24"/>
    </row>
    <row r="855" spans="4:11" ht="14.25" customHeight="1" x14ac:dyDescent="0.3">
      <c r="D855" s="2"/>
      <c r="F855" s="2"/>
      <c r="G855" s="2"/>
      <c r="H855" s="2"/>
      <c r="K855" s="24"/>
    </row>
    <row r="856" spans="4:11" ht="14.25" customHeight="1" x14ac:dyDescent="0.3">
      <c r="D856" s="2"/>
      <c r="F856" s="2"/>
      <c r="G856" s="2"/>
      <c r="H856" s="2"/>
      <c r="K856" s="24"/>
    </row>
    <row r="857" spans="4:11" ht="14.25" customHeight="1" x14ac:dyDescent="0.3">
      <c r="D857" s="2"/>
      <c r="F857" s="2"/>
      <c r="G857" s="2"/>
      <c r="H857" s="2"/>
      <c r="K857" s="24"/>
    </row>
    <row r="858" spans="4:11" ht="14.25" customHeight="1" x14ac:dyDescent="0.3">
      <c r="D858" s="2"/>
      <c r="F858" s="2"/>
      <c r="G858" s="2"/>
      <c r="H858" s="2"/>
      <c r="K858" s="24"/>
    </row>
    <row r="859" spans="4:11" ht="14.25" customHeight="1" x14ac:dyDescent="0.3">
      <c r="D859" s="2"/>
      <c r="F859" s="2"/>
      <c r="G859" s="2"/>
      <c r="H859" s="2"/>
      <c r="K859" s="24"/>
    </row>
    <row r="860" spans="4:11" ht="14.25" customHeight="1" x14ac:dyDescent="0.3">
      <c r="D860" s="2"/>
      <c r="F860" s="2"/>
      <c r="G860" s="2"/>
      <c r="H860" s="2"/>
      <c r="K860" s="24"/>
    </row>
    <row r="861" spans="4:11" ht="14.25" customHeight="1" x14ac:dyDescent="0.3">
      <c r="D861" s="2"/>
      <c r="F861" s="2"/>
      <c r="G861" s="2"/>
      <c r="H861" s="2"/>
      <c r="K861" s="24"/>
    </row>
    <row r="862" spans="4:11" ht="14.25" customHeight="1" x14ac:dyDescent="0.3">
      <c r="D862" s="2"/>
      <c r="F862" s="2"/>
      <c r="G862" s="2"/>
      <c r="H862" s="2"/>
      <c r="K862" s="24"/>
    </row>
    <row r="863" spans="4:11" ht="14.25" customHeight="1" x14ac:dyDescent="0.3">
      <c r="D863" s="2"/>
      <c r="F863" s="2"/>
      <c r="G863" s="2"/>
      <c r="H863" s="2"/>
      <c r="K863" s="24"/>
    </row>
    <row r="864" spans="4:11" ht="14.25" customHeight="1" x14ac:dyDescent="0.3">
      <c r="D864" s="2"/>
      <c r="F864" s="2"/>
      <c r="G864" s="2"/>
      <c r="H864" s="2"/>
      <c r="K864" s="24"/>
    </row>
    <row r="865" spans="4:11" ht="14.25" customHeight="1" x14ac:dyDescent="0.3">
      <c r="D865" s="2"/>
      <c r="F865" s="2"/>
      <c r="G865" s="2"/>
      <c r="H865" s="2"/>
      <c r="K865" s="24"/>
    </row>
    <row r="866" spans="4:11" ht="14.25" customHeight="1" x14ac:dyDescent="0.3">
      <c r="D866" s="2"/>
      <c r="F866" s="2"/>
      <c r="G866" s="2"/>
      <c r="H866" s="2"/>
      <c r="K866" s="24"/>
    </row>
    <row r="867" spans="4:11" ht="14.25" customHeight="1" x14ac:dyDescent="0.3">
      <c r="D867" s="2"/>
      <c r="F867" s="2"/>
      <c r="G867" s="2"/>
      <c r="H867" s="2"/>
      <c r="K867" s="24"/>
    </row>
    <row r="868" spans="4:11" ht="14.25" customHeight="1" x14ac:dyDescent="0.3">
      <c r="D868" s="2"/>
      <c r="F868" s="2"/>
      <c r="G868" s="2"/>
      <c r="H868" s="2"/>
      <c r="K868" s="24"/>
    </row>
    <row r="869" spans="4:11" ht="14.25" customHeight="1" x14ac:dyDescent="0.3">
      <c r="D869" s="2"/>
      <c r="F869" s="2"/>
      <c r="G869" s="2"/>
      <c r="H869" s="2"/>
      <c r="K869" s="24"/>
    </row>
    <row r="870" spans="4:11" ht="14.25" customHeight="1" x14ac:dyDescent="0.3">
      <c r="D870" s="2"/>
      <c r="F870" s="2"/>
      <c r="G870" s="2"/>
      <c r="H870" s="2"/>
      <c r="K870" s="24"/>
    </row>
    <row r="871" spans="4:11" ht="14.25" customHeight="1" x14ac:dyDescent="0.3">
      <c r="D871" s="2"/>
      <c r="F871" s="2"/>
      <c r="G871" s="2"/>
      <c r="H871" s="2"/>
      <c r="K871" s="24"/>
    </row>
    <row r="872" spans="4:11" ht="14.25" customHeight="1" x14ac:dyDescent="0.3">
      <c r="D872" s="2"/>
      <c r="F872" s="2"/>
      <c r="G872" s="2"/>
      <c r="H872" s="2"/>
      <c r="K872" s="24"/>
    </row>
    <row r="873" spans="4:11" ht="14.25" customHeight="1" x14ac:dyDescent="0.3">
      <c r="D873" s="2"/>
      <c r="F873" s="2"/>
      <c r="G873" s="2"/>
      <c r="H873" s="2"/>
      <c r="K873" s="24"/>
    </row>
    <row r="874" spans="4:11" ht="14.25" customHeight="1" x14ac:dyDescent="0.3">
      <c r="D874" s="2"/>
      <c r="F874" s="2"/>
      <c r="G874" s="2"/>
      <c r="H874" s="2"/>
      <c r="K874" s="24"/>
    </row>
    <row r="875" spans="4:11" ht="14.25" customHeight="1" x14ac:dyDescent="0.3">
      <c r="D875" s="2"/>
      <c r="F875" s="2"/>
      <c r="G875" s="2"/>
      <c r="H875" s="2"/>
      <c r="K875" s="24"/>
    </row>
    <row r="876" spans="4:11" ht="14.25" customHeight="1" x14ac:dyDescent="0.3">
      <c r="D876" s="2"/>
      <c r="F876" s="2"/>
      <c r="G876" s="2"/>
      <c r="H876" s="2"/>
      <c r="K876" s="24"/>
    </row>
    <row r="877" spans="4:11" ht="14.25" customHeight="1" x14ac:dyDescent="0.3">
      <c r="D877" s="2"/>
      <c r="F877" s="2"/>
      <c r="G877" s="2"/>
      <c r="H877" s="2"/>
      <c r="K877" s="24"/>
    </row>
    <row r="878" spans="4:11" ht="14.25" customHeight="1" x14ac:dyDescent="0.3">
      <c r="D878" s="2"/>
      <c r="F878" s="2"/>
      <c r="G878" s="2"/>
      <c r="H878" s="2"/>
      <c r="K878" s="24"/>
    </row>
    <row r="879" spans="4:11" ht="14.25" customHeight="1" x14ac:dyDescent="0.3">
      <c r="D879" s="2"/>
      <c r="F879" s="2"/>
      <c r="G879" s="2"/>
      <c r="H879" s="2"/>
      <c r="K879" s="24"/>
    </row>
    <row r="880" spans="4:11" ht="14.25" customHeight="1" x14ac:dyDescent="0.3">
      <c r="D880" s="2"/>
      <c r="F880" s="2"/>
      <c r="G880" s="2"/>
      <c r="H880" s="2"/>
      <c r="K880" s="24"/>
    </row>
    <row r="881" spans="4:11" ht="14.25" customHeight="1" x14ac:dyDescent="0.3">
      <c r="D881" s="2"/>
      <c r="F881" s="2"/>
      <c r="G881" s="2"/>
      <c r="H881" s="2"/>
      <c r="K881" s="24"/>
    </row>
    <row r="882" spans="4:11" ht="14.25" customHeight="1" x14ac:dyDescent="0.3">
      <c r="D882" s="2"/>
      <c r="F882" s="2"/>
      <c r="G882" s="2"/>
      <c r="H882" s="2"/>
      <c r="K882" s="24"/>
    </row>
    <row r="883" spans="4:11" ht="14.25" customHeight="1" x14ac:dyDescent="0.3">
      <c r="D883" s="2"/>
      <c r="F883" s="2"/>
      <c r="G883" s="2"/>
      <c r="H883" s="2"/>
      <c r="K883" s="24"/>
    </row>
    <row r="884" spans="4:11" ht="14.25" customHeight="1" x14ac:dyDescent="0.3">
      <c r="D884" s="2"/>
      <c r="F884" s="2"/>
      <c r="G884" s="2"/>
      <c r="H884" s="2"/>
      <c r="K884" s="24"/>
    </row>
    <row r="885" spans="4:11" ht="14.25" customHeight="1" x14ac:dyDescent="0.3">
      <c r="D885" s="2"/>
      <c r="F885" s="2"/>
      <c r="G885" s="2"/>
      <c r="H885" s="2"/>
      <c r="K885" s="24"/>
    </row>
    <row r="886" spans="4:11" ht="14.25" customHeight="1" x14ac:dyDescent="0.3">
      <c r="D886" s="2"/>
      <c r="F886" s="2"/>
      <c r="G886" s="2"/>
      <c r="H886" s="2"/>
      <c r="K886" s="24"/>
    </row>
    <row r="887" spans="4:11" ht="14.25" customHeight="1" x14ac:dyDescent="0.3">
      <c r="D887" s="2"/>
      <c r="F887" s="2"/>
      <c r="G887" s="2"/>
      <c r="H887" s="2"/>
      <c r="K887" s="24"/>
    </row>
    <row r="888" spans="4:11" ht="14.25" customHeight="1" x14ac:dyDescent="0.3">
      <c r="D888" s="2"/>
      <c r="F888" s="2"/>
      <c r="G888" s="2"/>
      <c r="H888" s="2"/>
      <c r="K888" s="24"/>
    </row>
    <row r="889" spans="4:11" ht="14.25" customHeight="1" x14ac:dyDescent="0.3">
      <c r="D889" s="2"/>
      <c r="F889" s="2"/>
      <c r="G889" s="2"/>
      <c r="H889" s="2"/>
      <c r="K889" s="24"/>
    </row>
    <row r="890" spans="4:11" ht="14.25" customHeight="1" x14ac:dyDescent="0.3">
      <c r="D890" s="2"/>
      <c r="F890" s="2"/>
      <c r="G890" s="2"/>
      <c r="H890" s="2"/>
      <c r="K890" s="24"/>
    </row>
    <row r="891" spans="4:11" ht="14.25" customHeight="1" x14ac:dyDescent="0.3">
      <c r="D891" s="2"/>
      <c r="F891" s="2"/>
      <c r="G891" s="2"/>
      <c r="H891" s="2"/>
      <c r="K891" s="24"/>
    </row>
    <row r="892" spans="4:11" ht="14.25" customHeight="1" x14ac:dyDescent="0.3">
      <c r="D892" s="2"/>
      <c r="F892" s="2"/>
      <c r="G892" s="2"/>
      <c r="H892" s="2"/>
      <c r="K892" s="24"/>
    </row>
    <row r="893" spans="4:11" ht="14.25" customHeight="1" x14ac:dyDescent="0.3">
      <c r="D893" s="2"/>
      <c r="F893" s="2"/>
      <c r="G893" s="2"/>
      <c r="H893" s="2"/>
      <c r="K893" s="24"/>
    </row>
    <row r="894" spans="4:11" ht="14.25" customHeight="1" x14ac:dyDescent="0.3">
      <c r="D894" s="2"/>
      <c r="F894" s="2"/>
      <c r="G894" s="2"/>
      <c r="H894" s="2"/>
      <c r="K894" s="24"/>
    </row>
    <row r="895" spans="4:11" ht="14.25" customHeight="1" x14ac:dyDescent="0.3">
      <c r="D895" s="2"/>
      <c r="F895" s="2"/>
      <c r="G895" s="2"/>
      <c r="H895" s="2"/>
      <c r="K895" s="24"/>
    </row>
    <row r="896" spans="4:11" ht="14.25" customHeight="1" x14ac:dyDescent="0.3">
      <c r="D896" s="2"/>
      <c r="F896" s="2"/>
      <c r="G896" s="2"/>
      <c r="H896" s="2"/>
      <c r="K896" s="24"/>
    </row>
    <row r="897" spans="4:11" ht="14.25" customHeight="1" x14ac:dyDescent="0.3">
      <c r="D897" s="2"/>
      <c r="F897" s="2"/>
      <c r="G897" s="2"/>
      <c r="H897" s="2"/>
      <c r="K897" s="24"/>
    </row>
    <row r="898" spans="4:11" ht="14.25" customHeight="1" x14ac:dyDescent="0.3">
      <c r="D898" s="2"/>
      <c r="F898" s="2"/>
      <c r="G898" s="2"/>
      <c r="H898" s="2"/>
      <c r="K898" s="24"/>
    </row>
    <row r="899" spans="4:11" ht="14.25" customHeight="1" x14ac:dyDescent="0.3">
      <c r="D899" s="2"/>
      <c r="F899" s="2"/>
      <c r="G899" s="2"/>
      <c r="H899" s="2"/>
      <c r="K899" s="24"/>
    </row>
    <row r="900" spans="4:11" ht="14.25" customHeight="1" x14ac:dyDescent="0.3">
      <c r="D900" s="2"/>
      <c r="F900" s="2"/>
      <c r="G900" s="2"/>
      <c r="H900" s="2"/>
      <c r="K900" s="24"/>
    </row>
    <row r="901" spans="4:11" ht="14.25" customHeight="1" x14ac:dyDescent="0.3">
      <c r="D901" s="2"/>
      <c r="F901" s="2"/>
      <c r="G901" s="2"/>
      <c r="H901" s="2"/>
      <c r="K901" s="24"/>
    </row>
    <row r="902" spans="4:11" ht="14.25" customHeight="1" x14ac:dyDescent="0.3">
      <c r="D902" s="2"/>
      <c r="F902" s="2"/>
      <c r="G902" s="2"/>
      <c r="H902" s="2"/>
      <c r="K902" s="24"/>
    </row>
    <row r="903" spans="4:11" ht="14.25" customHeight="1" x14ac:dyDescent="0.3">
      <c r="D903" s="2"/>
      <c r="F903" s="2"/>
      <c r="G903" s="2"/>
      <c r="H903" s="2"/>
      <c r="K903" s="24"/>
    </row>
    <row r="904" spans="4:11" ht="14.25" customHeight="1" x14ac:dyDescent="0.3">
      <c r="D904" s="2"/>
      <c r="F904" s="2"/>
      <c r="G904" s="2"/>
      <c r="H904" s="2"/>
      <c r="K904" s="24"/>
    </row>
    <row r="905" spans="4:11" ht="14.25" customHeight="1" x14ac:dyDescent="0.3">
      <c r="D905" s="2"/>
      <c r="F905" s="2"/>
      <c r="G905" s="2"/>
      <c r="H905" s="2"/>
      <c r="K905" s="24"/>
    </row>
    <row r="906" spans="4:11" ht="14.25" customHeight="1" x14ac:dyDescent="0.3">
      <c r="D906" s="2"/>
      <c r="F906" s="2"/>
      <c r="G906" s="2"/>
      <c r="H906" s="2"/>
      <c r="K906" s="24"/>
    </row>
    <row r="907" spans="4:11" ht="14.25" customHeight="1" x14ac:dyDescent="0.3">
      <c r="D907" s="2"/>
      <c r="F907" s="2"/>
      <c r="G907" s="2"/>
      <c r="H907" s="2"/>
      <c r="K907" s="24"/>
    </row>
    <row r="908" spans="4:11" ht="14.25" customHeight="1" x14ac:dyDescent="0.3">
      <c r="D908" s="2"/>
      <c r="F908" s="2"/>
      <c r="G908" s="2"/>
      <c r="H908" s="2"/>
      <c r="K908" s="24"/>
    </row>
    <row r="909" spans="4:11" ht="14.25" customHeight="1" x14ac:dyDescent="0.3">
      <c r="D909" s="2"/>
      <c r="F909" s="2"/>
      <c r="G909" s="2"/>
      <c r="H909" s="2"/>
      <c r="K909" s="24"/>
    </row>
    <row r="910" spans="4:11" ht="14.25" customHeight="1" x14ac:dyDescent="0.3">
      <c r="D910" s="2"/>
      <c r="F910" s="2"/>
      <c r="G910" s="2"/>
      <c r="H910" s="2"/>
      <c r="K910" s="24"/>
    </row>
    <row r="911" spans="4:11" ht="14.25" customHeight="1" x14ac:dyDescent="0.3">
      <c r="D911" s="2"/>
      <c r="F911" s="2"/>
      <c r="G911" s="2"/>
      <c r="H911" s="2"/>
      <c r="K911" s="24"/>
    </row>
    <row r="912" spans="4:11" ht="14.25" customHeight="1" x14ac:dyDescent="0.3">
      <c r="D912" s="2"/>
      <c r="F912" s="2"/>
      <c r="G912" s="2"/>
      <c r="H912" s="2"/>
      <c r="K912" s="24"/>
    </row>
    <row r="913" spans="4:11" ht="14.25" customHeight="1" x14ac:dyDescent="0.3">
      <c r="D913" s="2"/>
      <c r="F913" s="2"/>
      <c r="G913" s="2"/>
      <c r="H913" s="2"/>
      <c r="K913" s="24"/>
    </row>
    <row r="914" spans="4:11" ht="14.25" customHeight="1" x14ac:dyDescent="0.3">
      <c r="D914" s="2"/>
      <c r="F914" s="2"/>
      <c r="G914" s="2"/>
      <c r="H914" s="2"/>
      <c r="K914" s="24"/>
    </row>
    <row r="915" spans="4:11" ht="14.25" customHeight="1" x14ac:dyDescent="0.3">
      <c r="D915" s="2"/>
      <c r="F915" s="2"/>
      <c r="G915" s="2"/>
      <c r="H915" s="2"/>
      <c r="K915" s="24"/>
    </row>
    <row r="916" spans="4:11" ht="14.25" customHeight="1" x14ac:dyDescent="0.3">
      <c r="D916" s="2"/>
      <c r="F916" s="2"/>
      <c r="G916" s="2"/>
      <c r="H916" s="2"/>
      <c r="K916" s="24"/>
    </row>
    <row r="917" spans="4:11" ht="14.25" customHeight="1" x14ac:dyDescent="0.3">
      <c r="D917" s="2"/>
      <c r="F917" s="2"/>
      <c r="G917" s="2"/>
      <c r="H917" s="2"/>
      <c r="K917" s="24"/>
    </row>
    <row r="918" spans="4:11" ht="14.25" customHeight="1" x14ac:dyDescent="0.3">
      <c r="D918" s="2"/>
      <c r="F918" s="2"/>
      <c r="G918" s="2"/>
      <c r="H918" s="2"/>
      <c r="K918" s="24"/>
    </row>
    <row r="919" spans="4:11" ht="14.25" customHeight="1" x14ac:dyDescent="0.3">
      <c r="D919" s="2"/>
      <c r="F919" s="2"/>
      <c r="G919" s="2"/>
      <c r="H919" s="2"/>
      <c r="K919" s="24"/>
    </row>
    <row r="920" spans="4:11" ht="14.25" customHeight="1" x14ac:dyDescent="0.3">
      <c r="D920" s="2"/>
      <c r="F920" s="2"/>
      <c r="G920" s="2"/>
      <c r="H920" s="2"/>
      <c r="K920" s="24"/>
    </row>
    <row r="921" spans="4:11" ht="14.25" customHeight="1" x14ac:dyDescent="0.3">
      <c r="D921" s="2"/>
      <c r="F921" s="2"/>
      <c r="G921" s="2"/>
      <c r="H921" s="2"/>
      <c r="K921" s="24"/>
    </row>
    <row r="922" spans="4:11" ht="14.25" customHeight="1" x14ac:dyDescent="0.3">
      <c r="D922" s="2"/>
      <c r="F922" s="2"/>
      <c r="G922" s="2"/>
      <c r="H922" s="2"/>
      <c r="K922" s="24"/>
    </row>
    <row r="923" spans="4:11" ht="14.25" customHeight="1" x14ac:dyDescent="0.3">
      <c r="D923" s="2"/>
      <c r="F923" s="2"/>
      <c r="G923" s="2"/>
      <c r="H923" s="2"/>
      <c r="K923" s="24"/>
    </row>
    <row r="924" spans="4:11" ht="14.25" customHeight="1" x14ac:dyDescent="0.3">
      <c r="D924" s="2"/>
      <c r="F924" s="2"/>
      <c r="G924" s="2"/>
      <c r="H924" s="2"/>
      <c r="K924" s="24"/>
    </row>
    <row r="925" spans="4:11" ht="14.25" customHeight="1" x14ac:dyDescent="0.3">
      <c r="D925" s="2"/>
      <c r="F925" s="2"/>
      <c r="G925" s="2"/>
      <c r="H925" s="2"/>
      <c r="K925" s="24"/>
    </row>
    <row r="926" spans="4:11" ht="14.25" customHeight="1" x14ac:dyDescent="0.3">
      <c r="D926" s="2"/>
      <c r="F926" s="2"/>
      <c r="G926" s="2"/>
      <c r="H926" s="2"/>
      <c r="K926" s="24"/>
    </row>
    <row r="927" spans="4:11" ht="14.25" customHeight="1" x14ac:dyDescent="0.3">
      <c r="D927" s="2"/>
      <c r="F927" s="2"/>
      <c r="G927" s="2"/>
      <c r="H927" s="2"/>
      <c r="K927" s="24"/>
    </row>
    <row r="928" spans="4:11" ht="14.25" customHeight="1" x14ac:dyDescent="0.3">
      <c r="D928" s="2"/>
      <c r="F928" s="2"/>
      <c r="G928" s="2"/>
      <c r="H928" s="2"/>
      <c r="K928" s="24"/>
    </row>
    <row r="929" spans="4:11" ht="14.25" customHeight="1" x14ac:dyDescent="0.3">
      <c r="D929" s="2"/>
      <c r="F929" s="2"/>
      <c r="G929" s="2"/>
      <c r="H929" s="2"/>
      <c r="K929" s="24"/>
    </row>
    <row r="930" spans="4:11" ht="14.25" customHeight="1" x14ac:dyDescent="0.3">
      <c r="D930" s="2"/>
      <c r="F930" s="2"/>
      <c r="G930" s="2"/>
      <c r="H930" s="2"/>
      <c r="K930" s="24"/>
    </row>
    <row r="931" spans="4:11" ht="14.25" customHeight="1" x14ac:dyDescent="0.3">
      <c r="D931" s="2"/>
      <c r="F931" s="2"/>
      <c r="G931" s="2"/>
      <c r="H931" s="2"/>
      <c r="K931" s="24"/>
    </row>
    <row r="932" spans="4:11" ht="14.25" customHeight="1" x14ac:dyDescent="0.3">
      <c r="D932" s="2"/>
      <c r="F932" s="2"/>
      <c r="G932" s="2"/>
      <c r="H932" s="2"/>
      <c r="K932" s="24"/>
    </row>
    <row r="933" spans="4:11" ht="14.25" customHeight="1" x14ac:dyDescent="0.3">
      <c r="D933" s="2"/>
      <c r="F933" s="2"/>
      <c r="G933" s="2"/>
      <c r="H933" s="2"/>
      <c r="K933" s="24"/>
    </row>
    <row r="934" spans="4:11" ht="14.25" customHeight="1" x14ac:dyDescent="0.3">
      <c r="D934" s="2"/>
      <c r="F934" s="2"/>
      <c r="G934" s="2"/>
      <c r="H934" s="2"/>
      <c r="K934" s="24"/>
    </row>
    <row r="935" spans="4:11" ht="14.25" customHeight="1" x14ac:dyDescent="0.3">
      <c r="D935" s="2"/>
      <c r="F935" s="2"/>
      <c r="G935" s="2"/>
      <c r="H935" s="2"/>
      <c r="K935" s="24"/>
    </row>
    <row r="936" spans="4:11" ht="14.25" customHeight="1" x14ac:dyDescent="0.3">
      <c r="D936" s="2"/>
      <c r="F936" s="2"/>
      <c r="G936" s="2"/>
      <c r="H936" s="2"/>
      <c r="K936" s="24"/>
    </row>
    <row r="937" spans="4:11" ht="14.25" customHeight="1" x14ac:dyDescent="0.3">
      <c r="D937" s="2"/>
      <c r="F937" s="2"/>
      <c r="G937" s="2"/>
      <c r="H937" s="2"/>
      <c r="K937" s="24"/>
    </row>
    <row r="938" spans="4:11" ht="14.25" customHeight="1" x14ac:dyDescent="0.3">
      <c r="D938" s="2"/>
      <c r="F938" s="2"/>
      <c r="G938" s="2"/>
      <c r="H938" s="2"/>
      <c r="K938" s="24"/>
    </row>
    <row r="939" spans="4:11" ht="14.25" customHeight="1" x14ac:dyDescent="0.3">
      <c r="D939" s="2"/>
      <c r="F939" s="2"/>
      <c r="G939" s="2"/>
      <c r="H939" s="2"/>
      <c r="K939" s="24"/>
    </row>
    <row r="940" spans="4:11" ht="14.25" customHeight="1" x14ac:dyDescent="0.3">
      <c r="D940" s="2"/>
      <c r="F940" s="2"/>
      <c r="G940" s="2"/>
      <c r="H940" s="2"/>
      <c r="K940" s="24"/>
    </row>
    <row r="941" spans="4:11" ht="14.25" customHeight="1" x14ac:dyDescent="0.3">
      <c r="D941" s="2"/>
      <c r="F941" s="2"/>
      <c r="G941" s="2"/>
      <c r="H941" s="2"/>
      <c r="K941" s="24"/>
    </row>
    <row r="942" spans="4:11" ht="14.25" customHeight="1" x14ac:dyDescent="0.3">
      <c r="D942" s="2"/>
      <c r="F942" s="2"/>
      <c r="G942" s="2"/>
      <c r="H942" s="2"/>
      <c r="K942" s="24"/>
    </row>
    <row r="943" spans="4:11" ht="14.25" customHeight="1" x14ac:dyDescent="0.3">
      <c r="D943" s="2"/>
      <c r="F943" s="2"/>
      <c r="G943" s="2"/>
      <c r="H943" s="2"/>
      <c r="K943" s="24"/>
    </row>
    <row r="944" spans="4:11" ht="14.25" customHeight="1" x14ac:dyDescent="0.3">
      <c r="D944" s="2"/>
      <c r="F944" s="2"/>
      <c r="G944" s="2"/>
      <c r="H944" s="2"/>
      <c r="K944" s="24"/>
    </row>
    <row r="945" spans="4:11" ht="14.25" customHeight="1" x14ac:dyDescent="0.3">
      <c r="D945" s="2"/>
      <c r="F945" s="2"/>
      <c r="G945" s="2"/>
      <c r="H945" s="2"/>
      <c r="K945" s="24"/>
    </row>
    <row r="946" spans="4:11" ht="14.25" customHeight="1" x14ac:dyDescent="0.3">
      <c r="D946" s="2"/>
      <c r="F946" s="2"/>
      <c r="G946" s="2"/>
      <c r="H946" s="2"/>
      <c r="K946" s="24"/>
    </row>
    <row r="947" spans="4:11" ht="14.25" customHeight="1" x14ac:dyDescent="0.3">
      <c r="D947" s="2"/>
      <c r="F947" s="2"/>
      <c r="G947" s="2"/>
      <c r="H947" s="2"/>
      <c r="K947" s="24"/>
    </row>
    <row r="948" spans="4:11" ht="14.25" customHeight="1" x14ac:dyDescent="0.3">
      <c r="D948" s="2"/>
      <c r="F948" s="2"/>
      <c r="G948" s="2"/>
      <c r="H948" s="2"/>
      <c r="K948" s="24"/>
    </row>
    <row r="949" spans="4:11" ht="14.25" customHeight="1" x14ac:dyDescent="0.3">
      <c r="D949" s="2"/>
      <c r="F949" s="2"/>
      <c r="G949" s="2"/>
      <c r="H949" s="2"/>
      <c r="K949" s="24"/>
    </row>
    <row r="950" spans="4:11" ht="14.25" customHeight="1" x14ac:dyDescent="0.3">
      <c r="D950" s="2"/>
      <c r="F950" s="2"/>
      <c r="G950" s="2"/>
      <c r="H950" s="2"/>
      <c r="K950" s="24"/>
    </row>
    <row r="951" spans="4:11" ht="14.25" customHeight="1" x14ac:dyDescent="0.3">
      <c r="D951" s="2"/>
      <c r="F951" s="2"/>
      <c r="G951" s="2"/>
      <c r="H951" s="2"/>
      <c r="K951" s="24"/>
    </row>
    <row r="952" spans="4:11" ht="14.25" customHeight="1" x14ac:dyDescent="0.3">
      <c r="D952" s="2"/>
      <c r="F952" s="2"/>
      <c r="G952" s="2"/>
      <c r="H952" s="2"/>
      <c r="K952" s="24"/>
    </row>
    <row r="953" spans="4:11" ht="14.25" customHeight="1" x14ac:dyDescent="0.3">
      <c r="D953" s="2"/>
      <c r="F953" s="2"/>
      <c r="G953" s="2"/>
      <c r="H953" s="2"/>
      <c r="K953" s="24"/>
    </row>
    <row r="954" spans="4:11" ht="14.25" customHeight="1" x14ac:dyDescent="0.3">
      <c r="D954" s="2"/>
      <c r="F954" s="2"/>
      <c r="G954" s="2"/>
      <c r="H954" s="2"/>
      <c r="K954" s="24"/>
    </row>
    <row r="955" spans="4:11" ht="14.25" customHeight="1" x14ac:dyDescent="0.3">
      <c r="D955" s="2"/>
      <c r="F955" s="2"/>
      <c r="G955" s="2"/>
      <c r="H955" s="2"/>
      <c r="K955" s="24"/>
    </row>
    <row r="956" spans="4:11" ht="14.25" customHeight="1" x14ac:dyDescent="0.3">
      <c r="D956" s="2"/>
      <c r="F956" s="2"/>
      <c r="G956" s="2"/>
      <c r="H956" s="2"/>
      <c r="K956" s="24"/>
    </row>
    <row r="957" spans="4:11" ht="14.25" customHeight="1" x14ac:dyDescent="0.3">
      <c r="D957" s="2"/>
      <c r="F957" s="2"/>
      <c r="G957" s="2"/>
      <c r="H957" s="2"/>
      <c r="K957" s="24"/>
    </row>
    <row r="958" spans="4:11" ht="14.25" customHeight="1" x14ac:dyDescent="0.3">
      <c r="D958" s="2"/>
      <c r="F958" s="2"/>
      <c r="G958" s="2"/>
      <c r="H958" s="2"/>
      <c r="K958" s="24"/>
    </row>
    <row r="959" spans="4:11" ht="14.25" customHeight="1" x14ac:dyDescent="0.3">
      <c r="D959" s="2"/>
      <c r="F959" s="2"/>
      <c r="G959" s="2"/>
      <c r="H959" s="2"/>
      <c r="K959" s="24"/>
    </row>
    <row r="960" spans="4:11" ht="14.25" customHeight="1" x14ac:dyDescent="0.3">
      <c r="D960" s="2"/>
      <c r="F960" s="2"/>
      <c r="G960" s="2"/>
      <c r="H960" s="2"/>
      <c r="K960" s="24"/>
    </row>
    <row r="961" spans="4:11" ht="14.25" customHeight="1" x14ac:dyDescent="0.3">
      <c r="D961" s="2"/>
      <c r="F961" s="2"/>
      <c r="G961" s="2"/>
      <c r="H961" s="2"/>
      <c r="K961" s="24"/>
    </row>
    <row r="962" spans="4:11" ht="14.25" customHeight="1" x14ac:dyDescent="0.3">
      <c r="D962" s="2"/>
      <c r="F962" s="2"/>
      <c r="G962" s="2"/>
      <c r="H962" s="2"/>
      <c r="K962" s="24"/>
    </row>
    <row r="963" spans="4:11" ht="14.25" customHeight="1" x14ac:dyDescent="0.3">
      <c r="D963" s="2"/>
      <c r="F963" s="2"/>
      <c r="G963" s="2"/>
      <c r="H963" s="2"/>
      <c r="K963" s="24"/>
    </row>
    <row r="964" spans="4:11" ht="14.25" customHeight="1" x14ac:dyDescent="0.3">
      <c r="D964" s="2"/>
      <c r="F964" s="2"/>
      <c r="G964" s="2"/>
      <c r="H964" s="2"/>
      <c r="K964" s="24"/>
    </row>
    <row r="965" spans="4:11" ht="14.25" customHeight="1" x14ac:dyDescent="0.3">
      <c r="D965" s="2"/>
      <c r="F965" s="2"/>
      <c r="G965" s="2"/>
      <c r="H965" s="2"/>
      <c r="K965" s="24"/>
    </row>
    <row r="966" spans="4:11" ht="14.25" customHeight="1" x14ac:dyDescent="0.3">
      <c r="D966" s="2"/>
      <c r="F966" s="2"/>
      <c r="G966" s="2"/>
      <c r="H966" s="2"/>
      <c r="K966" s="24"/>
    </row>
    <row r="967" spans="4:11" ht="14.25" customHeight="1" x14ac:dyDescent="0.3">
      <c r="D967" s="2"/>
      <c r="F967" s="2"/>
      <c r="G967" s="2"/>
      <c r="H967" s="2"/>
      <c r="K967" s="24"/>
    </row>
    <row r="968" spans="4:11" ht="14.25" customHeight="1" x14ac:dyDescent="0.3">
      <c r="D968" s="2"/>
      <c r="F968" s="2"/>
      <c r="G968" s="2"/>
      <c r="H968" s="2"/>
      <c r="K968" s="24"/>
    </row>
    <row r="969" spans="4:11" ht="14.25" customHeight="1" x14ac:dyDescent="0.3">
      <c r="D969" s="2"/>
      <c r="F969" s="2"/>
      <c r="G969" s="2"/>
      <c r="H969" s="2"/>
      <c r="K969" s="24"/>
    </row>
    <row r="970" spans="4:11" ht="14.25" customHeight="1" x14ac:dyDescent="0.3">
      <c r="D970" s="2"/>
      <c r="F970" s="2"/>
      <c r="G970" s="2"/>
      <c r="H970" s="2"/>
      <c r="K970" s="24"/>
    </row>
    <row r="971" spans="4:11" ht="14.25" customHeight="1" x14ac:dyDescent="0.3">
      <c r="D971" s="2"/>
      <c r="F971" s="2"/>
      <c r="G971" s="2"/>
      <c r="H971" s="2"/>
      <c r="K971" s="24"/>
    </row>
    <row r="972" spans="4:11" ht="14.25" customHeight="1" x14ac:dyDescent="0.3">
      <c r="D972" s="2"/>
      <c r="F972" s="2"/>
      <c r="G972" s="2"/>
      <c r="H972" s="2"/>
      <c r="K972" s="24"/>
    </row>
    <row r="973" spans="4:11" ht="14.25" customHeight="1" x14ac:dyDescent="0.3">
      <c r="D973" s="2"/>
      <c r="F973" s="2"/>
      <c r="G973" s="2"/>
      <c r="H973" s="2"/>
      <c r="K973" s="24"/>
    </row>
    <row r="974" spans="4:11" ht="14.25" customHeight="1" x14ac:dyDescent="0.3">
      <c r="D974" s="2"/>
      <c r="F974" s="2"/>
      <c r="G974" s="2"/>
      <c r="H974" s="2"/>
      <c r="K974" s="24"/>
    </row>
    <row r="975" spans="4:11" ht="14.25" customHeight="1" x14ac:dyDescent="0.3">
      <c r="D975" s="2"/>
      <c r="F975" s="2"/>
      <c r="G975" s="2"/>
      <c r="H975" s="2"/>
      <c r="K975" s="24"/>
    </row>
    <row r="976" spans="4:11" ht="14.25" customHeight="1" x14ac:dyDescent="0.3">
      <c r="D976" s="2"/>
      <c r="F976" s="2"/>
      <c r="G976" s="2"/>
      <c r="H976" s="2"/>
      <c r="K976" s="24"/>
    </row>
    <row r="977" spans="4:11" ht="14.25" customHeight="1" x14ac:dyDescent="0.3">
      <c r="D977" s="2"/>
      <c r="F977" s="2"/>
      <c r="G977" s="2"/>
      <c r="H977" s="2"/>
      <c r="K977" s="24"/>
    </row>
    <row r="978" spans="4:11" ht="14.25" customHeight="1" x14ac:dyDescent="0.3">
      <c r="D978" s="2"/>
      <c r="F978" s="2"/>
      <c r="G978" s="2"/>
      <c r="H978" s="2"/>
      <c r="K978" s="24"/>
    </row>
    <row r="979" spans="4:11" ht="14.25" customHeight="1" x14ac:dyDescent="0.3">
      <c r="D979" s="2"/>
      <c r="F979" s="2"/>
      <c r="G979" s="2"/>
      <c r="H979" s="2"/>
      <c r="K979" s="24"/>
    </row>
    <row r="980" spans="4:11" ht="14.25" customHeight="1" x14ac:dyDescent="0.3">
      <c r="D980" s="2"/>
      <c r="F980" s="2"/>
      <c r="G980" s="2"/>
      <c r="H980" s="2"/>
      <c r="K980" s="24"/>
    </row>
    <row r="981" spans="4:11" ht="14.25" customHeight="1" x14ac:dyDescent="0.3">
      <c r="D981" s="2"/>
      <c r="F981" s="2"/>
      <c r="G981" s="2"/>
      <c r="H981" s="2"/>
      <c r="K981" s="24"/>
    </row>
    <row r="982" spans="4:11" ht="14.25" customHeight="1" x14ac:dyDescent="0.3">
      <c r="D982" s="2"/>
      <c r="F982" s="2"/>
      <c r="G982" s="2"/>
      <c r="H982" s="2"/>
      <c r="K982" s="24"/>
    </row>
    <row r="983" spans="4:11" ht="14.25" customHeight="1" x14ac:dyDescent="0.3">
      <c r="D983" s="2"/>
      <c r="F983" s="2"/>
      <c r="G983" s="2"/>
      <c r="H983" s="2"/>
      <c r="K983" s="24"/>
    </row>
    <row r="984" spans="4:11" ht="14.25" customHeight="1" x14ac:dyDescent="0.3">
      <c r="D984" s="2"/>
      <c r="F984" s="2"/>
      <c r="G984" s="2"/>
      <c r="H984" s="2"/>
      <c r="K984" s="24"/>
    </row>
    <row r="985" spans="4:11" ht="14.25" customHeight="1" x14ac:dyDescent="0.3">
      <c r="D985" s="2"/>
      <c r="F985" s="2"/>
      <c r="G985" s="2"/>
      <c r="H985" s="2"/>
      <c r="K985" s="24"/>
    </row>
    <row r="986" spans="4:11" ht="14.25" customHeight="1" x14ac:dyDescent="0.3">
      <c r="D986" s="2"/>
      <c r="F986" s="2"/>
      <c r="G986" s="2"/>
      <c r="H986" s="2"/>
      <c r="K986" s="24"/>
    </row>
    <row r="987" spans="4:11" ht="14.25" customHeight="1" x14ac:dyDescent="0.3">
      <c r="D987" s="2"/>
      <c r="F987" s="2"/>
      <c r="G987" s="2"/>
      <c r="H987" s="2"/>
      <c r="K987" s="24"/>
    </row>
    <row r="988" spans="4:11" ht="14.25" customHeight="1" x14ac:dyDescent="0.3">
      <c r="D988" s="2"/>
      <c r="F988" s="2"/>
      <c r="G988" s="2"/>
      <c r="H988" s="2"/>
      <c r="K988" s="24"/>
    </row>
    <row r="989" spans="4:11" ht="14.25" customHeight="1" x14ac:dyDescent="0.3">
      <c r="D989" s="2"/>
      <c r="F989" s="2"/>
      <c r="G989" s="2"/>
      <c r="H989" s="2"/>
      <c r="K989" s="24"/>
    </row>
    <row r="990" spans="4:11" ht="14.25" customHeight="1" x14ac:dyDescent="0.3">
      <c r="D990" s="2"/>
      <c r="F990" s="2"/>
      <c r="G990" s="2"/>
      <c r="H990" s="2"/>
      <c r="K990" s="24"/>
    </row>
    <row r="991" spans="4:11" ht="14.25" customHeight="1" x14ac:dyDescent="0.3">
      <c r="D991" s="2"/>
      <c r="F991" s="2"/>
      <c r="G991" s="2"/>
      <c r="H991" s="2"/>
      <c r="K991" s="24"/>
    </row>
    <row r="992" spans="4:11" ht="14.25" customHeight="1" x14ac:dyDescent="0.3">
      <c r="D992" s="2"/>
      <c r="F992" s="2"/>
      <c r="G992" s="2"/>
      <c r="H992" s="2"/>
      <c r="K992" s="24"/>
    </row>
    <row r="993" spans="4:11" ht="14.25" customHeight="1" x14ac:dyDescent="0.3">
      <c r="D993" s="2"/>
      <c r="F993" s="2"/>
      <c r="G993" s="2"/>
      <c r="H993" s="2"/>
      <c r="K993" s="24"/>
    </row>
    <row r="994" spans="4:11" ht="14.25" customHeight="1" x14ac:dyDescent="0.3">
      <c r="D994" s="2"/>
      <c r="F994" s="2"/>
      <c r="G994" s="2"/>
      <c r="H994" s="2"/>
      <c r="K994" s="24"/>
    </row>
    <row r="995" spans="4:11" ht="14.25" customHeight="1" x14ac:dyDescent="0.3">
      <c r="D995" s="2"/>
      <c r="F995" s="2"/>
      <c r="G995" s="2"/>
      <c r="H995" s="2"/>
      <c r="K995" s="24"/>
    </row>
    <row r="996" spans="4:11" ht="14.25" customHeight="1" x14ac:dyDescent="0.3">
      <c r="D996" s="2"/>
      <c r="F996" s="2"/>
      <c r="G996" s="2"/>
      <c r="H996" s="2"/>
      <c r="K996" s="24"/>
    </row>
    <row r="997" spans="4:11" ht="14.25" customHeight="1" x14ac:dyDescent="0.3">
      <c r="D997" s="2"/>
      <c r="F997" s="2"/>
      <c r="G997" s="2"/>
      <c r="H997" s="2"/>
      <c r="K997" s="24"/>
    </row>
    <row r="998" spans="4:11" ht="14.25" customHeight="1" x14ac:dyDescent="0.3">
      <c r="D998" s="2"/>
      <c r="F998" s="2"/>
      <c r="G998" s="2"/>
      <c r="H998" s="2"/>
      <c r="K998" s="24"/>
    </row>
    <row r="999" spans="4:11" ht="14.25" customHeight="1" x14ac:dyDescent="0.3">
      <c r="D999" s="2"/>
      <c r="F999" s="2"/>
      <c r="G999" s="2"/>
      <c r="H999" s="2"/>
      <c r="K999" s="24"/>
    </row>
    <row r="1000" spans="4:11" ht="14.25" customHeight="1" x14ac:dyDescent="0.3">
      <c r="D1000" s="2"/>
      <c r="F1000" s="2"/>
      <c r="G1000" s="2"/>
      <c r="H1000" s="2"/>
      <c r="K1000" s="24"/>
    </row>
  </sheetData>
  <mergeCells count="36">
    <mergeCell ref="B11:B18"/>
    <mergeCell ref="B20:B22"/>
    <mergeCell ref="B24:B26"/>
    <mergeCell ref="B28:B31"/>
    <mergeCell ref="B33:B35"/>
    <mergeCell ref="B3:B9"/>
    <mergeCell ref="G3:G9"/>
    <mergeCell ref="H3:H9"/>
    <mergeCell ref="I3:I9"/>
    <mergeCell ref="J3:J9"/>
    <mergeCell ref="K3:K9"/>
    <mergeCell ref="K11:K18"/>
    <mergeCell ref="I24:I26"/>
    <mergeCell ref="I28:I31"/>
    <mergeCell ref="J28:J31"/>
    <mergeCell ref="K28:K31"/>
    <mergeCell ref="I33:I35"/>
    <mergeCell ref="J33:J35"/>
    <mergeCell ref="K33:K35"/>
    <mergeCell ref="I11:I18"/>
    <mergeCell ref="J11:J18"/>
    <mergeCell ref="I20:I22"/>
    <mergeCell ref="J20:J22"/>
    <mergeCell ref="K20:K22"/>
    <mergeCell ref="J24:J26"/>
    <mergeCell ref="K24:K26"/>
    <mergeCell ref="G28:G31"/>
    <mergeCell ref="G33:G35"/>
    <mergeCell ref="G11:G18"/>
    <mergeCell ref="H11:H18"/>
    <mergeCell ref="G20:G22"/>
    <mergeCell ref="H20:H22"/>
    <mergeCell ref="G24:G26"/>
    <mergeCell ref="H24:H26"/>
    <mergeCell ref="H28:H31"/>
    <mergeCell ref="H33:H3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1000000}">
          <x14:formula1>
            <xm:f>'4) Packaging'!$B$4:$B$27</xm:f>
          </x14:formula1>
          <xm:sqref>B3 B11 B20 B24 B28 B33 B37 B39 B41 B43 B45 B47</xm:sqref>
        </x14:dataValidation>
        <x14:dataValidation type="list" allowBlank="1" showErrorMessage="1" xr:uid="{00000000-0002-0000-0400-000002000000}">
          <x14:formula1>
            <xm:f>'4) Packaging'!$B$4:$B$33</xm:f>
          </x14:formula1>
          <xm:sqref>B49 B51</xm:sqref>
        </x14:dataValidation>
        <x14:dataValidation type="list" allowBlank="1" showErrorMessage="1" xr:uid="{00000000-0002-0000-0400-000000000000}">
          <x14:formula1>
            <xm:f>'3) costo mp'!#REF!</xm:f>
          </x14:formula1>
          <xm:sqref>C3:C9 C51 C49 C47 C45 C43 C41 C39 C37 C33:C35 C28:C31 C24:C26 C20:C22 C11:C18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1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1" sqref="F11"/>
    </sheetView>
  </sheetViews>
  <sheetFormatPr baseColWidth="10" defaultColWidth="14.44140625" defaultRowHeight="15" customHeight="1" x14ac:dyDescent="0.3"/>
  <cols>
    <col min="1" max="1" width="10.6640625" customWidth="1"/>
    <col min="2" max="2" width="26.33203125" style="54" customWidth="1"/>
    <col min="3" max="3" width="22.33203125" style="55" customWidth="1"/>
    <col min="4" max="4" width="19.5546875" customWidth="1"/>
    <col min="5" max="5" width="10.44140625" style="54" customWidth="1"/>
    <col min="6" max="6" width="17.88671875" customWidth="1"/>
    <col min="7" max="9" width="19.33203125" customWidth="1"/>
    <col min="10" max="10" width="24.5546875" customWidth="1"/>
    <col min="11" max="11" width="34.33203125" customWidth="1"/>
    <col min="12" max="12" width="24.33203125" customWidth="1"/>
    <col min="13" max="13" width="19.88671875" customWidth="1"/>
    <col min="14" max="14" width="20.33203125" customWidth="1"/>
    <col min="15" max="15" width="19.33203125" customWidth="1"/>
    <col min="16" max="16" width="13.21875" style="54" customWidth="1"/>
    <col min="17" max="27" width="10.6640625" customWidth="1"/>
  </cols>
  <sheetData>
    <row r="1" spans="2:16" ht="14.25" customHeight="1" x14ac:dyDescent="0.3">
      <c r="D1" s="2"/>
      <c r="F1" s="2"/>
      <c r="G1" s="2"/>
      <c r="H1" s="2"/>
      <c r="I1" s="2"/>
      <c r="P1" s="58"/>
    </row>
    <row r="2" spans="2:16" ht="14.25" customHeight="1" x14ac:dyDescent="0.3">
      <c r="B2" s="59" t="s">
        <v>73</v>
      </c>
      <c r="C2" s="90" t="s">
        <v>89</v>
      </c>
      <c r="D2" s="61" t="s">
        <v>90</v>
      </c>
      <c r="E2" s="60" t="s">
        <v>75</v>
      </c>
      <c r="F2" s="61" t="s">
        <v>91</v>
      </c>
      <c r="G2" s="61" t="s">
        <v>92</v>
      </c>
      <c r="H2" s="61" t="s">
        <v>140</v>
      </c>
      <c r="I2" s="61" t="s">
        <v>132</v>
      </c>
      <c r="J2" s="61" t="s">
        <v>97</v>
      </c>
      <c r="K2" s="61" t="s">
        <v>98</v>
      </c>
      <c r="L2" s="61" t="s">
        <v>99</v>
      </c>
      <c r="M2" s="61" t="s">
        <v>100</v>
      </c>
      <c r="N2" s="61" t="s">
        <v>101</v>
      </c>
      <c r="O2" s="61" t="s">
        <v>102</v>
      </c>
      <c r="P2" s="62" t="s">
        <v>103</v>
      </c>
    </row>
    <row r="3" spans="2:16" ht="14.25" customHeight="1" x14ac:dyDescent="0.3">
      <c r="B3" s="63" t="s">
        <v>88</v>
      </c>
      <c r="C3" s="91" t="s">
        <v>57</v>
      </c>
      <c r="D3" s="65">
        <f>+IFERROR(VLOOKUP(C3,'3) costo mp'!$B$4:$C$19,2,FALSE),"")</f>
        <v>578.12713472222231</v>
      </c>
      <c r="E3" s="64">
        <v>1</v>
      </c>
      <c r="F3" s="66">
        <f t="shared" ref="F3:F35" si="0">+IFERROR(D3*E3,"")</f>
        <v>578.12713472222231</v>
      </c>
      <c r="G3" s="67">
        <f>+IFERROR(VLOOKUP(B3,Packaging,6,FALSE),"")</f>
        <v>149.37234000000001</v>
      </c>
      <c r="H3" s="67">
        <f>+IFERROR(SUM(F3)+G3,"")</f>
        <v>727.49947472222232</v>
      </c>
      <c r="I3" s="67"/>
      <c r="J3" s="67">
        <v>2000</v>
      </c>
      <c r="K3" s="67">
        <f t="shared" ref="K3:K35" si="1">+H3*2.5</f>
        <v>1818.7486868055557</v>
      </c>
      <c r="L3" s="67">
        <f>+J3*1.1</f>
        <v>2200</v>
      </c>
      <c r="M3" s="67">
        <f>+IF(L3&gt;K3,L3,K3)</f>
        <v>2200</v>
      </c>
      <c r="N3" s="67">
        <f>+J3-H3</f>
        <v>1272.5005252777778</v>
      </c>
      <c r="O3" s="67">
        <f>+M3-J3</f>
        <v>200</v>
      </c>
      <c r="P3" s="68">
        <f>(N3/J3)</f>
        <v>0.63625026263888895</v>
      </c>
    </row>
    <row r="4" spans="2:16" ht="14.25" customHeight="1" x14ac:dyDescent="0.3">
      <c r="B4" s="63" t="s">
        <v>80</v>
      </c>
      <c r="C4" s="91" t="s">
        <v>60</v>
      </c>
      <c r="D4" s="65">
        <f>+IFERROR(VLOOKUP(C4,'3) costo mp'!$B$4:$C$19,2,FALSE),"")</f>
        <v>539.65356805555564</v>
      </c>
      <c r="E4" s="64">
        <v>1</v>
      </c>
      <c r="F4" s="66">
        <f t="shared" si="0"/>
        <v>539.65356805555564</v>
      </c>
      <c r="G4" s="67">
        <f>+IFERROR(VLOOKUP(B4,Packaging,6,FALSE),"")</f>
        <v>216.05734000000001</v>
      </c>
      <c r="H4" s="69">
        <f>+IFERROR(SUM(F4:F6)+G4,"")</f>
        <v>2676.0417705555556</v>
      </c>
      <c r="I4" s="67"/>
      <c r="J4" s="69">
        <v>8500</v>
      </c>
      <c r="K4" s="67">
        <f t="shared" si="1"/>
        <v>6690.1044263888889</v>
      </c>
      <c r="L4" s="67">
        <f>+J4*1.1</f>
        <v>9350</v>
      </c>
      <c r="M4" s="67">
        <f>+IF(L4&gt;K4,L4,K4)</f>
        <v>9350</v>
      </c>
      <c r="N4" s="69">
        <f>+J4-H4</f>
        <v>5823.9582294444444</v>
      </c>
      <c r="O4" s="67">
        <f>+M4-J4</f>
        <v>850</v>
      </c>
      <c r="P4" s="68">
        <f>(N4/J4)</f>
        <v>0.68517155640522875</v>
      </c>
    </row>
    <row r="5" spans="2:16" ht="14.25" customHeight="1" x14ac:dyDescent="0.3">
      <c r="B5" s="63" t="s">
        <v>80</v>
      </c>
      <c r="C5" s="91" t="s">
        <v>59</v>
      </c>
      <c r="D5" s="65">
        <f>+IFERROR(VLOOKUP(C5,'3) costo mp'!$B$4:$C$19,2,FALSE),"")</f>
        <v>764.07659305555558</v>
      </c>
      <c r="E5" s="64">
        <v>1</v>
      </c>
      <c r="F5" s="66">
        <f t="shared" si="0"/>
        <v>764.07659305555558</v>
      </c>
      <c r="G5" s="67"/>
      <c r="H5" s="70"/>
      <c r="I5" s="70"/>
      <c r="J5" s="70"/>
      <c r="K5" s="67">
        <f t="shared" si="1"/>
        <v>0</v>
      </c>
      <c r="L5" s="67">
        <f>+J5*1.1</f>
        <v>0</v>
      </c>
      <c r="M5" s="67">
        <f>+IF(L5&gt;K5,L5,K5)</f>
        <v>0</v>
      </c>
      <c r="N5" s="70"/>
      <c r="O5" s="67">
        <f>+M5-J5</f>
        <v>0</v>
      </c>
      <c r="P5" s="71"/>
    </row>
    <row r="6" spans="2:16" ht="14.25" customHeight="1" x14ac:dyDescent="0.3">
      <c r="B6" s="63" t="s">
        <v>80</v>
      </c>
      <c r="C6" s="91" t="s">
        <v>57</v>
      </c>
      <c r="D6" s="65">
        <f>+IFERROR(VLOOKUP(C6,'3) costo mp'!$B$4:$C$19,2,FALSE),"")</f>
        <v>578.12713472222231</v>
      </c>
      <c r="E6" s="64">
        <v>2</v>
      </c>
      <c r="F6" s="66">
        <f t="shared" si="0"/>
        <v>1156.2542694444446</v>
      </c>
      <c r="G6" s="67"/>
      <c r="H6" s="70"/>
      <c r="I6" s="70"/>
      <c r="J6" s="70"/>
      <c r="K6" s="67">
        <f t="shared" si="1"/>
        <v>0</v>
      </c>
      <c r="L6" s="67">
        <f>+J6*1.1</f>
        <v>0</v>
      </c>
      <c r="M6" s="67">
        <f>+IF(L6&gt;K6,L6,K6)</f>
        <v>0</v>
      </c>
      <c r="N6" s="70"/>
      <c r="O6" s="67">
        <f>+M6-J6</f>
        <v>0</v>
      </c>
      <c r="P6" s="71"/>
    </row>
    <row r="7" spans="2:16" ht="14.25" customHeight="1" x14ac:dyDescent="0.3">
      <c r="B7" s="63" t="s">
        <v>83</v>
      </c>
      <c r="C7" s="91" t="s">
        <v>66</v>
      </c>
      <c r="D7" s="65">
        <f>+IFERROR(VLOOKUP(C7,'3) costo mp'!$B$4:$C$19,2,FALSE),"")</f>
        <v>148.49955888888888</v>
      </c>
      <c r="E7" s="64">
        <v>5</v>
      </c>
      <c r="F7" s="66">
        <f t="shared" si="0"/>
        <v>742.49779444444448</v>
      </c>
      <c r="G7" s="67">
        <f>+IFERROR(VLOOKUP(B7,Packaging,6,FALSE),"")</f>
        <v>216.05734000000001</v>
      </c>
      <c r="H7" s="69">
        <f>+IFERROR(SUM(F7:F10)+G7,"")</f>
        <v>2223.5237873271567</v>
      </c>
      <c r="I7" s="67"/>
      <c r="J7" s="69">
        <v>8500</v>
      </c>
      <c r="K7" s="67">
        <f t="shared" si="1"/>
        <v>5558.8094683178915</v>
      </c>
      <c r="L7" s="67">
        <f>+J7*1.1</f>
        <v>9350</v>
      </c>
      <c r="M7" s="67">
        <f>+IF(L7&gt;K7,L7,K7)</f>
        <v>9350</v>
      </c>
      <c r="N7" s="69">
        <f>+J7-H7</f>
        <v>6276.4762126728438</v>
      </c>
      <c r="O7" s="67">
        <f>+M7-J7</f>
        <v>850</v>
      </c>
      <c r="P7" s="68">
        <f>(N7/J7)</f>
        <v>0.73840896619680518</v>
      </c>
    </row>
    <row r="8" spans="2:16" ht="14.25" customHeight="1" x14ac:dyDescent="0.3">
      <c r="B8" s="63" t="s">
        <v>83</v>
      </c>
      <c r="C8" s="91" t="s">
        <v>69</v>
      </c>
      <c r="D8" s="65">
        <f>+IFERROR(VLOOKUP(C8,'3) costo mp'!$B$4:$C$19,2,FALSE),"")</f>
        <v>147.28882962962962</v>
      </c>
      <c r="E8" s="64">
        <v>1</v>
      </c>
      <c r="F8" s="66">
        <f t="shared" si="0"/>
        <v>147.28882962962962</v>
      </c>
      <c r="G8" s="67"/>
      <c r="H8" s="70"/>
      <c r="I8" s="70"/>
      <c r="J8" s="70"/>
      <c r="K8" s="67">
        <f t="shared" si="1"/>
        <v>0</v>
      </c>
      <c r="L8" s="67">
        <f>+J8*1.1</f>
        <v>0</v>
      </c>
      <c r="M8" s="67">
        <f>+IF(L8&gt;K8,L8,K8)</f>
        <v>0</v>
      </c>
      <c r="N8" s="70"/>
      <c r="O8" s="67">
        <f>+M8-J8</f>
        <v>0</v>
      </c>
      <c r="P8" s="71"/>
    </row>
    <row r="9" spans="2:16" ht="14.25" customHeight="1" x14ac:dyDescent="0.3">
      <c r="B9" s="63" t="s">
        <v>83</v>
      </c>
      <c r="C9" s="91" t="s">
        <v>68</v>
      </c>
      <c r="D9" s="65">
        <f>+IFERROR(VLOOKUP(C9,'3) costo mp'!$B$4:$C$19,2,FALSE),"")</f>
        <v>194.51099236641221</v>
      </c>
      <c r="E9" s="64">
        <v>3</v>
      </c>
      <c r="F9" s="66">
        <f t="shared" si="0"/>
        <v>583.53297709923663</v>
      </c>
      <c r="G9" s="67"/>
      <c r="H9" s="70"/>
      <c r="I9" s="70"/>
      <c r="J9" s="70"/>
      <c r="K9" s="67">
        <f t="shared" si="1"/>
        <v>0</v>
      </c>
      <c r="L9" s="67">
        <f>+J9*1.1</f>
        <v>0</v>
      </c>
      <c r="M9" s="67">
        <f>+IF(L9&gt;K9,L9,K9)</f>
        <v>0</v>
      </c>
      <c r="N9" s="70"/>
      <c r="O9" s="67">
        <f>+M9-J9</f>
        <v>0</v>
      </c>
      <c r="P9" s="71"/>
    </row>
    <row r="10" spans="2:16" ht="14.25" customHeight="1" x14ac:dyDescent="0.3">
      <c r="B10" s="63" t="s">
        <v>83</v>
      </c>
      <c r="C10" s="91" t="s">
        <v>70</v>
      </c>
      <c r="D10" s="65">
        <f>+IFERROR(VLOOKUP(C10,'3) costo mp'!$B$4:$C$19,2,FALSE),"")</f>
        <v>178.04894871794872</v>
      </c>
      <c r="E10" s="64">
        <v>3</v>
      </c>
      <c r="F10" s="66">
        <f t="shared" si="0"/>
        <v>534.14684615384613</v>
      </c>
      <c r="G10" s="67"/>
      <c r="H10" s="70"/>
      <c r="I10" s="70"/>
      <c r="J10" s="70"/>
      <c r="K10" s="67">
        <f t="shared" si="1"/>
        <v>0</v>
      </c>
      <c r="L10" s="67">
        <f>+J10*1.1</f>
        <v>0</v>
      </c>
      <c r="M10" s="67">
        <f>+IF(L10&gt;K10,L10,K10)</f>
        <v>0</v>
      </c>
      <c r="N10" s="70"/>
      <c r="O10" s="67">
        <f>+M10-J10</f>
        <v>0</v>
      </c>
      <c r="P10" s="71"/>
    </row>
    <row r="11" spans="2:16" ht="14.25" customHeight="1" x14ac:dyDescent="0.3">
      <c r="B11" s="63" t="s">
        <v>81</v>
      </c>
      <c r="C11" s="91" t="s">
        <v>66</v>
      </c>
      <c r="D11" s="65">
        <f>+IFERROR(VLOOKUP(C11,'3) costo mp'!$B$4:$C$19,2,FALSE),"")</f>
        <v>148.49955888888888</v>
      </c>
      <c r="E11" s="64">
        <v>2</v>
      </c>
      <c r="F11" s="66">
        <f t="shared" si="0"/>
        <v>296.99911777777777</v>
      </c>
      <c r="G11" s="67">
        <f>+IFERROR(VLOOKUP(B11,Packaging,6,FALSE),"")</f>
        <v>149.37234000000001</v>
      </c>
      <c r="H11" s="69">
        <f>+IFERROR(SUM(F11:F13)+G11,"")</f>
        <v>1191.4913399464995</v>
      </c>
      <c r="I11" s="67"/>
      <c r="J11" s="69">
        <v>4500</v>
      </c>
      <c r="K11" s="67">
        <f t="shared" si="1"/>
        <v>2978.7283498662487</v>
      </c>
      <c r="L11" s="67">
        <f>+J11*1.1</f>
        <v>4950</v>
      </c>
      <c r="M11" s="67">
        <f>+IF(L11&gt;K11,L11,K11)</f>
        <v>4950</v>
      </c>
      <c r="N11" s="69">
        <f>+J11-H11</f>
        <v>3308.5086600535005</v>
      </c>
      <c r="O11" s="67">
        <f>+M11-J11</f>
        <v>450</v>
      </c>
      <c r="P11" s="68">
        <f>(N11/J11)</f>
        <v>0.73522414667855562</v>
      </c>
    </row>
    <row r="12" spans="2:16" ht="14.25" customHeight="1" x14ac:dyDescent="0.3">
      <c r="B12" s="63" t="s">
        <v>81</v>
      </c>
      <c r="C12" s="91" t="s">
        <v>70</v>
      </c>
      <c r="D12" s="65">
        <f>+IFERROR(VLOOKUP(C12,'3) costo mp'!$B$4:$C$19,2,FALSE),"")</f>
        <v>178.04894871794872</v>
      </c>
      <c r="E12" s="64">
        <v>2</v>
      </c>
      <c r="F12" s="66">
        <f t="shared" si="0"/>
        <v>356.09789743589744</v>
      </c>
      <c r="G12" s="67"/>
      <c r="H12" s="70"/>
      <c r="I12" s="70"/>
      <c r="J12" s="70"/>
      <c r="K12" s="67">
        <f t="shared" si="1"/>
        <v>0</v>
      </c>
      <c r="L12" s="67">
        <f>+J12*1.1</f>
        <v>0</v>
      </c>
      <c r="M12" s="67">
        <f>+IF(L12&gt;K12,L12,K12)</f>
        <v>0</v>
      </c>
      <c r="N12" s="70"/>
      <c r="O12" s="67">
        <f>+M12-J12</f>
        <v>0</v>
      </c>
      <c r="P12" s="71"/>
    </row>
    <row r="13" spans="2:16" ht="14.25" customHeight="1" x14ac:dyDescent="0.3">
      <c r="B13" s="63" t="s">
        <v>81</v>
      </c>
      <c r="C13" s="91" t="s">
        <v>68</v>
      </c>
      <c r="D13" s="65">
        <f>+IFERROR(VLOOKUP(C13,'3) costo mp'!$B$4:$C$19,2,FALSE),"")</f>
        <v>194.51099236641221</v>
      </c>
      <c r="E13" s="64">
        <v>2</v>
      </c>
      <c r="F13" s="66">
        <f t="shared" si="0"/>
        <v>389.02198473282442</v>
      </c>
      <c r="G13" s="67"/>
      <c r="H13" s="70"/>
      <c r="I13" s="70"/>
      <c r="J13" s="70"/>
      <c r="K13" s="67">
        <f t="shared" si="1"/>
        <v>0</v>
      </c>
      <c r="L13" s="67">
        <f>+J13*1.1</f>
        <v>0</v>
      </c>
      <c r="M13" s="67">
        <f>+IF(L13&gt;K13,L13,K13)</f>
        <v>0</v>
      </c>
      <c r="N13" s="70"/>
      <c r="O13" s="67">
        <f>+M13-J13</f>
        <v>0</v>
      </c>
      <c r="P13" s="71"/>
    </row>
    <row r="14" spans="2:16" ht="14.25" customHeight="1" x14ac:dyDescent="0.3">
      <c r="B14" s="63" t="s">
        <v>78</v>
      </c>
      <c r="C14" s="91" t="s">
        <v>69</v>
      </c>
      <c r="D14" s="65">
        <f>+IFERROR(VLOOKUP(C14,'3) costo mp'!$B$4:$C$19,2,FALSE),"")</f>
        <v>147.28882962962962</v>
      </c>
      <c r="E14" s="64">
        <v>3</v>
      </c>
      <c r="F14" s="65">
        <f t="shared" si="0"/>
        <v>441.86648888888885</v>
      </c>
      <c r="G14" s="67">
        <f>+IFERROR(VLOOKUP(B14,Packaging,6,FALSE),"")</f>
        <v>432.11468000000002</v>
      </c>
      <c r="H14" s="69">
        <f>+IFERROR(SUM(F14:F20)+G14,"")</f>
        <v>6200.8742604753052</v>
      </c>
      <c r="I14" s="67"/>
      <c r="J14" s="69">
        <v>16000</v>
      </c>
      <c r="K14" s="67">
        <f t="shared" si="1"/>
        <v>15502.185651188263</v>
      </c>
      <c r="L14" s="67">
        <f>+J14*1.1</f>
        <v>17600</v>
      </c>
      <c r="M14" s="67">
        <f>+IF(L14&gt;K14,L14,K14)</f>
        <v>17600</v>
      </c>
      <c r="N14" s="69">
        <f>+J14-H14</f>
        <v>9799.1257395246939</v>
      </c>
      <c r="O14" s="67">
        <f>+M14-J14</f>
        <v>1600</v>
      </c>
      <c r="P14" s="68">
        <f>(N14/J14)</f>
        <v>0.61244535872029338</v>
      </c>
    </row>
    <row r="15" spans="2:16" ht="14.25" customHeight="1" x14ac:dyDescent="0.3">
      <c r="B15" s="63" t="s">
        <v>78</v>
      </c>
      <c r="C15" s="91" t="s">
        <v>68</v>
      </c>
      <c r="D15" s="65">
        <f>+IFERROR(VLOOKUP(C15,'3) costo mp'!$B$4:$C$19,2,FALSE),"")</f>
        <v>194.51099236641221</v>
      </c>
      <c r="E15" s="64">
        <v>3</v>
      </c>
      <c r="F15" s="65">
        <f t="shared" si="0"/>
        <v>583.53297709923663</v>
      </c>
      <c r="G15" s="67"/>
      <c r="H15" s="70"/>
      <c r="I15" s="70"/>
      <c r="J15" s="70"/>
      <c r="K15" s="67">
        <f t="shared" si="1"/>
        <v>0</v>
      </c>
      <c r="L15" s="67">
        <f>+J15*1.1</f>
        <v>0</v>
      </c>
      <c r="M15" s="67">
        <f>+IF(L15&gt;K15,L15,K15)</f>
        <v>0</v>
      </c>
      <c r="N15" s="70"/>
      <c r="O15" s="67">
        <f>+M15-J15</f>
        <v>0</v>
      </c>
      <c r="P15" s="71"/>
    </row>
    <row r="16" spans="2:16" ht="14.25" customHeight="1" x14ac:dyDescent="0.3">
      <c r="B16" s="63" t="s">
        <v>78</v>
      </c>
      <c r="C16" s="91" t="s">
        <v>70</v>
      </c>
      <c r="D16" s="65">
        <f>+IFERROR(VLOOKUP(C16,'3) costo mp'!$B$4:$C$19,2,FALSE),"")</f>
        <v>178.04894871794872</v>
      </c>
      <c r="E16" s="64">
        <v>3</v>
      </c>
      <c r="F16" s="65">
        <f t="shared" si="0"/>
        <v>534.14684615384613</v>
      </c>
      <c r="G16" s="67"/>
      <c r="H16" s="70"/>
      <c r="I16" s="70"/>
      <c r="J16" s="70"/>
      <c r="K16" s="67">
        <f t="shared" si="1"/>
        <v>0</v>
      </c>
      <c r="L16" s="67">
        <f>+J16*1.1</f>
        <v>0</v>
      </c>
      <c r="M16" s="67">
        <f>+IF(L16&gt;K16,L16,K16)</f>
        <v>0</v>
      </c>
      <c r="N16" s="70"/>
      <c r="O16" s="67">
        <f>+M16-J16</f>
        <v>0</v>
      </c>
      <c r="P16" s="71"/>
    </row>
    <row r="17" spans="2:16" ht="14.25" customHeight="1" x14ac:dyDescent="0.3">
      <c r="B17" s="63" t="s">
        <v>78</v>
      </c>
      <c r="C17" s="91" t="s">
        <v>66</v>
      </c>
      <c r="D17" s="65">
        <f>+IFERROR(VLOOKUP(C17,'3) costo mp'!$B$4:$C$19,2,FALSE),"")</f>
        <v>148.49955888888888</v>
      </c>
      <c r="E17" s="64">
        <v>3</v>
      </c>
      <c r="F17" s="65">
        <f t="shared" si="0"/>
        <v>445.49867666666665</v>
      </c>
      <c r="G17" s="67"/>
      <c r="H17" s="70"/>
      <c r="I17" s="70"/>
      <c r="J17" s="70"/>
      <c r="K17" s="67">
        <f t="shared" si="1"/>
        <v>0</v>
      </c>
      <c r="L17" s="67">
        <f>+J17*1.1</f>
        <v>0</v>
      </c>
      <c r="M17" s="67">
        <f>+IF(L17&gt;K17,L17,K17)</f>
        <v>0</v>
      </c>
      <c r="N17" s="70"/>
      <c r="O17" s="67">
        <f>+M17-J17</f>
        <v>0</v>
      </c>
      <c r="P17" s="71"/>
    </row>
    <row r="18" spans="2:16" ht="14.25" customHeight="1" x14ac:dyDescent="0.3">
      <c r="B18" s="63" t="s">
        <v>78</v>
      </c>
      <c r="C18" s="91" t="s">
        <v>59</v>
      </c>
      <c r="D18" s="65">
        <f>+IFERROR(VLOOKUP(C18,'3) costo mp'!$B$4:$C$19,2,FALSE),"")</f>
        <v>764.07659305555558</v>
      </c>
      <c r="E18" s="64">
        <v>2</v>
      </c>
      <c r="F18" s="65">
        <f t="shared" si="0"/>
        <v>1528.1531861111112</v>
      </c>
      <c r="G18" s="67"/>
      <c r="H18" s="70"/>
      <c r="I18" s="70"/>
      <c r="J18" s="70"/>
      <c r="K18" s="67">
        <f t="shared" si="1"/>
        <v>0</v>
      </c>
      <c r="L18" s="67">
        <f>+J18*1.1</f>
        <v>0</v>
      </c>
      <c r="M18" s="67">
        <f>+IF(L18&gt;K18,L18,K18)</f>
        <v>0</v>
      </c>
      <c r="N18" s="70"/>
      <c r="O18" s="67">
        <f>+M18-J18</f>
        <v>0</v>
      </c>
      <c r="P18" s="71"/>
    </row>
    <row r="19" spans="2:16" ht="14.25" customHeight="1" x14ac:dyDescent="0.3">
      <c r="B19" s="63" t="s">
        <v>78</v>
      </c>
      <c r="C19" s="91" t="s">
        <v>57</v>
      </c>
      <c r="D19" s="65">
        <f>+IFERROR(VLOOKUP(C19,'3) costo mp'!$B$4:$C$19,2,FALSE),"")</f>
        <v>578.12713472222231</v>
      </c>
      <c r="E19" s="64">
        <v>2</v>
      </c>
      <c r="F19" s="65">
        <f t="shared" si="0"/>
        <v>1156.2542694444446</v>
      </c>
      <c r="G19" s="67"/>
      <c r="H19" s="70"/>
      <c r="I19" s="70"/>
      <c r="J19" s="70"/>
      <c r="K19" s="67">
        <f t="shared" si="1"/>
        <v>0</v>
      </c>
      <c r="L19" s="67">
        <f>+J19*1.1</f>
        <v>0</v>
      </c>
      <c r="M19" s="67">
        <f>+IF(L19&gt;K19,L19,K19)</f>
        <v>0</v>
      </c>
      <c r="N19" s="70"/>
      <c r="O19" s="67">
        <f>+M19-J19</f>
        <v>0</v>
      </c>
      <c r="P19" s="71"/>
    </row>
    <row r="20" spans="2:16" ht="14.25" customHeight="1" x14ac:dyDescent="0.3">
      <c r="B20" s="63" t="s">
        <v>78</v>
      </c>
      <c r="C20" s="91" t="s">
        <v>60</v>
      </c>
      <c r="D20" s="65">
        <f>+IFERROR(VLOOKUP(C20,'3) costo mp'!$B$4:$C$19,2,FALSE),"")</f>
        <v>539.65356805555564</v>
      </c>
      <c r="E20" s="64">
        <v>2</v>
      </c>
      <c r="F20" s="65">
        <f t="shared" si="0"/>
        <v>1079.3071361111113</v>
      </c>
      <c r="G20" s="67"/>
      <c r="H20" s="70"/>
      <c r="I20" s="70"/>
      <c r="J20" s="70"/>
      <c r="K20" s="67">
        <f t="shared" si="1"/>
        <v>0</v>
      </c>
      <c r="L20" s="67">
        <f>+J20*1.1</f>
        <v>0</v>
      </c>
      <c r="M20" s="67">
        <f>+IF(L20&gt;K20,L20,K20)</f>
        <v>0</v>
      </c>
      <c r="N20" s="70"/>
      <c r="O20" s="67">
        <f>+M20-J20</f>
        <v>0</v>
      </c>
      <c r="P20" s="71"/>
    </row>
    <row r="21" spans="2:16" ht="14.25" customHeight="1" x14ac:dyDescent="0.3">
      <c r="B21" s="63" t="s">
        <v>77</v>
      </c>
      <c r="C21" s="91" t="s">
        <v>66</v>
      </c>
      <c r="D21" s="65">
        <f>+IFERROR(VLOOKUP(C21,'3) costo mp'!$B$4:$C$19,2,FALSE),"")</f>
        <v>148.49955888888888</v>
      </c>
      <c r="E21" s="64">
        <v>2</v>
      </c>
      <c r="F21" s="65">
        <f t="shared" si="0"/>
        <v>296.99911777777777</v>
      </c>
      <c r="G21" s="67">
        <f>+IFERROR(VLOOKUP(B21,Packaging,6,FALSE),"")</f>
        <v>216.05734000000001</v>
      </c>
      <c r="H21" s="69">
        <f>+IFERROR(SUM(F21:F25)+G21,"")</f>
        <v>3942.5837955020552</v>
      </c>
      <c r="I21" s="67"/>
      <c r="J21" s="69">
        <v>10000</v>
      </c>
      <c r="K21" s="67">
        <f t="shared" si="1"/>
        <v>9856.4594887551375</v>
      </c>
      <c r="L21" s="67">
        <f>+J21*1.1</f>
        <v>11000</v>
      </c>
      <c r="M21" s="67">
        <f>+IF(L21&gt;K21,L21,K21)</f>
        <v>11000</v>
      </c>
      <c r="N21" s="69">
        <f>+J21-H21</f>
        <v>6057.4162044979448</v>
      </c>
      <c r="O21" s="67">
        <f>+M21-J21</f>
        <v>1000</v>
      </c>
      <c r="P21" s="68">
        <f>(N21/J21)</f>
        <v>0.60574162044979452</v>
      </c>
    </row>
    <row r="22" spans="2:16" ht="14.25" customHeight="1" x14ac:dyDescent="0.3">
      <c r="B22" s="63" t="s">
        <v>77</v>
      </c>
      <c r="C22" s="91" t="s">
        <v>70</v>
      </c>
      <c r="D22" s="65">
        <f>+IFERROR(VLOOKUP(C22,'3) costo mp'!$B$4:$C$19,2,FALSE),"")</f>
        <v>178.04894871794872</v>
      </c>
      <c r="E22" s="64">
        <v>2</v>
      </c>
      <c r="F22" s="65">
        <f t="shared" si="0"/>
        <v>356.09789743589744</v>
      </c>
      <c r="G22" s="67"/>
      <c r="H22" s="70"/>
      <c r="I22" s="70"/>
      <c r="J22" s="70"/>
      <c r="K22" s="67">
        <f t="shared" si="1"/>
        <v>0</v>
      </c>
      <c r="L22" s="67">
        <f>+J22*1.1</f>
        <v>0</v>
      </c>
      <c r="M22" s="67">
        <f>+IF(L22&gt;K22,L22,K22)</f>
        <v>0</v>
      </c>
      <c r="N22" s="70"/>
      <c r="O22" s="67">
        <f>+M22-J22</f>
        <v>0</v>
      </c>
      <c r="P22" s="71"/>
    </row>
    <row r="23" spans="2:16" ht="14.25" customHeight="1" x14ac:dyDescent="0.3">
      <c r="B23" s="63" t="s">
        <v>77</v>
      </c>
      <c r="C23" s="91" t="s">
        <v>68</v>
      </c>
      <c r="D23" s="65">
        <f>+IFERROR(VLOOKUP(C23,'3) costo mp'!$B$4:$C$19,2,FALSE),"")</f>
        <v>194.51099236641221</v>
      </c>
      <c r="E23" s="64">
        <v>2</v>
      </c>
      <c r="F23" s="65">
        <f t="shared" si="0"/>
        <v>389.02198473282442</v>
      </c>
      <c r="G23" s="67"/>
      <c r="H23" s="70"/>
      <c r="I23" s="70"/>
      <c r="J23" s="70"/>
      <c r="K23" s="67">
        <f t="shared" si="1"/>
        <v>0</v>
      </c>
      <c r="L23" s="67">
        <f>+J23*1.1</f>
        <v>0</v>
      </c>
      <c r="M23" s="67">
        <f>+IF(L23&gt;K23,L23,K23)</f>
        <v>0</v>
      </c>
      <c r="N23" s="70"/>
      <c r="O23" s="67">
        <f>+M23-J23</f>
        <v>0</v>
      </c>
      <c r="P23" s="71"/>
    </row>
    <row r="24" spans="2:16" ht="14.25" customHeight="1" x14ac:dyDescent="0.3">
      <c r="B24" s="63" t="s">
        <v>77</v>
      </c>
      <c r="C24" s="91" t="s">
        <v>57</v>
      </c>
      <c r="D24" s="65">
        <f>+IFERROR(VLOOKUP(C24,'3) costo mp'!$B$4:$C$19,2,FALSE),"")</f>
        <v>578.12713472222231</v>
      </c>
      <c r="E24" s="64">
        <v>2</v>
      </c>
      <c r="F24" s="65">
        <f t="shared" si="0"/>
        <v>1156.2542694444446</v>
      </c>
      <c r="G24" s="67"/>
      <c r="H24" s="70"/>
      <c r="I24" s="70"/>
      <c r="J24" s="70"/>
      <c r="K24" s="67">
        <f t="shared" si="1"/>
        <v>0</v>
      </c>
      <c r="L24" s="67">
        <f>+J24*1.1</f>
        <v>0</v>
      </c>
      <c r="M24" s="67">
        <f>+IF(L24&gt;K24,L24,K24)</f>
        <v>0</v>
      </c>
      <c r="N24" s="70"/>
      <c r="O24" s="67">
        <f>+M24-J24</f>
        <v>0</v>
      </c>
      <c r="P24" s="71"/>
    </row>
    <row r="25" spans="2:16" ht="14.25" customHeight="1" x14ac:dyDescent="0.3">
      <c r="B25" s="63" t="s">
        <v>77</v>
      </c>
      <c r="C25" s="91" t="s">
        <v>59</v>
      </c>
      <c r="D25" s="65">
        <f>+IFERROR(VLOOKUP(C25,'3) costo mp'!$B$4:$C$19,2,FALSE),"")</f>
        <v>764.07659305555558</v>
      </c>
      <c r="E25" s="64">
        <v>2</v>
      </c>
      <c r="F25" s="65">
        <f t="shared" si="0"/>
        <v>1528.1531861111112</v>
      </c>
      <c r="G25" s="67"/>
      <c r="H25" s="70"/>
      <c r="I25" s="70"/>
      <c r="J25" s="70"/>
      <c r="K25" s="67">
        <f t="shared" si="1"/>
        <v>0</v>
      </c>
      <c r="L25" s="67">
        <f>+J25*1.1</f>
        <v>0</v>
      </c>
      <c r="M25" s="67">
        <f>+IF(L25&gt;K25,L25,K25)</f>
        <v>0</v>
      </c>
      <c r="N25" s="70"/>
      <c r="O25" s="67">
        <f>+M25-J25</f>
        <v>0</v>
      </c>
      <c r="P25" s="71"/>
    </row>
    <row r="26" spans="2:16" ht="14.25" customHeight="1" x14ac:dyDescent="0.3">
      <c r="B26" s="63" t="s">
        <v>85</v>
      </c>
      <c r="C26" s="91" t="s">
        <v>64</v>
      </c>
      <c r="D26" s="65">
        <f>+IFERROR(VLOOKUP(C26,'3) costo mp'!$B$4:$C$19,2,FALSE),"")</f>
        <v>1349.7620312612612</v>
      </c>
      <c r="E26" s="64">
        <v>1</v>
      </c>
      <c r="F26" s="66">
        <f t="shared" si="0"/>
        <v>1349.7620312612612</v>
      </c>
      <c r="G26" s="67">
        <f>+IFERROR(VLOOKUP(B26,Packaging,6,FALSE),"")</f>
        <v>216.05734000000001</v>
      </c>
      <c r="H26" s="69">
        <f>+IFERROR(SUM(F26:F28)+G26,"")</f>
        <v>3554.4322481365575</v>
      </c>
      <c r="I26" s="67"/>
      <c r="J26" s="69">
        <v>10000</v>
      </c>
      <c r="K26" s="67">
        <f t="shared" si="1"/>
        <v>8886.080620341394</v>
      </c>
      <c r="L26" s="67">
        <f>+J26*1.1</f>
        <v>11000</v>
      </c>
      <c r="M26" s="67">
        <f>+IF(L26&gt;K26,L26,K26)</f>
        <v>11000</v>
      </c>
      <c r="N26" s="69">
        <f>+J26-H26</f>
        <v>6445.567751863442</v>
      </c>
      <c r="O26" s="67">
        <f>+M26-J26</f>
        <v>1000</v>
      </c>
      <c r="P26" s="68">
        <f>(N26/J26)</f>
        <v>0.64455677518634424</v>
      </c>
    </row>
    <row r="27" spans="2:16" ht="14.25" customHeight="1" x14ac:dyDescent="0.3">
      <c r="B27" s="63" t="s">
        <v>85</v>
      </c>
      <c r="C27" s="91" t="s">
        <v>71</v>
      </c>
      <c r="D27" s="65">
        <f>+IFERROR(VLOOKUP(C27,'3) costo mp'!$B$4:$C$19,2,FALSE),"")</f>
        <v>561.37584561403503</v>
      </c>
      <c r="E27" s="64">
        <v>1</v>
      </c>
      <c r="F27" s="66">
        <f t="shared" si="0"/>
        <v>561.37584561403503</v>
      </c>
      <c r="G27" s="67"/>
      <c r="H27" s="70"/>
      <c r="I27" s="70"/>
      <c r="J27" s="70"/>
      <c r="K27" s="67">
        <f t="shared" si="1"/>
        <v>0</v>
      </c>
      <c r="L27" s="67">
        <f>+J27*1.1</f>
        <v>0</v>
      </c>
      <c r="M27" s="67">
        <f>+IF(L27&gt;K27,L27,K27)</f>
        <v>0</v>
      </c>
      <c r="N27" s="70"/>
      <c r="O27" s="67">
        <f>+M27-J27</f>
        <v>0</v>
      </c>
      <c r="P27" s="71"/>
    </row>
    <row r="28" spans="2:16" ht="14.25" customHeight="1" x14ac:dyDescent="0.3">
      <c r="B28" s="63" t="s">
        <v>85</v>
      </c>
      <c r="C28" s="91" t="s">
        <v>63</v>
      </c>
      <c r="D28" s="65">
        <f>+IFERROR(VLOOKUP(C28,'3) costo mp'!$B$4:$C$19,2,FALSE),"")</f>
        <v>1427.2370312612613</v>
      </c>
      <c r="E28" s="64">
        <v>1</v>
      </c>
      <c r="F28" s="66">
        <f t="shared" si="0"/>
        <v>1427.2370312612613</v>
      </c>
      <c r="G28" s="67"/>
      <c r="H28" s="70"/>
      <c r="I28" s="70"/>
      <c r="J28" s="70"/>
      <c r="K28" s="67">
        <f t="shared" si="1"/>
        <v>0</v>
      </c>
      <c r="L28" s="67">
        <f>+J28*1.1</f>
        <v>0</v>
      </c>
      <c r="M28" s="67">
        <f>+IF(L28&gt;K28,L28,K28)</f>
        <v>0</v>
      </c>
      <c r="N28" s="70"/>
      <c r="O28" s="67">
        <f>+M28-J28</f>
        <v>0</v>
      </c>
      <c r="P28" s="71"/>
    </row>
    <row r="29" spans="2:16" ht="14.25" customHeight="1" x14ac:dyDescent="0.3">
      <c r="B29" s="63" t="s">
        <v>87</v>
      </c>
      <c r="C29" s="91" t="s">
        <v>68</v>
      </c>
      <c r="D29" s="65">
        <f>+IFERROR(VLOOKUP(C29,'3) costo mp'!$B$4:$C$19,2,FALSE),"")</f>
        <v>194.51099236641221</v>
      </c>
      <c r="E29" s="64">
        <v>1</v>
      </c>
      <c r="F29" s="66">
        <f t="shared" si="0"/>
        <v>194.51099236641221</v>
      </c>
      <c r="G29" s="67">
        <f t="shared" ref="G29:G36" si="2">+IFERROR(VLOOKUP(B29,Packaging,6,FALSE),"")</f>
        <v>149.37234000000001</v>
      </c>
      <c r="H29" s="67">
        <f t="shared" ref="H29:H35" si="3">+IFERROR(SUM(F29)+G29,"")</f>
        <v>343.88333236641222</v>
      </c>
      <c r="I29" s="67"/>
      <c r="J29" s="67">
        <v>800</v>
      </c>
      <c r="K29" s="67">
        <f t="shared" si="1"/>
        <v>859.70833091603049</v>
      </c>
      <c r="L29" s="67">
        <f>+J29*1.1</f>
        <v>880.00000000000011</v>
      </c>
      <c r="M29" s="67">
        <f>+IF(L29&gt;K29,L29,K29)</f>
        <v>880.00000000000011</v>
      </c>
      <c r="N29" s="67">
        <f>+J29-H29</f>
        <v>456.11666763358778</v>
      </c>
      <c r="O29" s="67">
        <f>+M29-J29</f>
        <v>80.000000000000114</v>
      </c>
      <c r="P29" s="68">
        <f>(N29/J29)</f>
        <v>0.57014583454198475</v>
      </c>
    </row>
    <row r="30" spans="2:16" ht="14.25" customHeight="1" x14ac:dyDescent="0.3">
      <c r="B30" s="63" t="s">
        <v>86</v>
      </c>
      <c r="C30" s="91" t="s">
        <v>126</v>
      </c>
      <c r="D30" s="65">
        <f>+IFERROR(VLOOKUP(C30,'3) costo mp'!$B$4:$C$19,2,FALSE),"")</f>
        <v>589.23391433540348</v>
      </c>
      <c r="E30" s="64">
        <v>1</v>
      </c>
      <c r="F30" s="66">
        <f t="shared" si="0"/>
        <v>589.23391433540348</v>
      </c>
      <c r="G30" s="67">
        <f t="shared" si="2"/>
        <v>149.37234000000001</v>
      </c>
      <c r="H30" s="67">
        <f t="shared" si="3"/>
        <v>738.60625433540349</v>
      </c>
      <c r="I30" s="67"/>
      <c r="J30" s="67">
        <v>3500</v>
      </c>
      <c r="K30" s="67">
        <f t="shared" si="1"/>
        <v>1846.5156358385088</v>
      </c>
      <c r="L30" s="67">
        <f>+J30*1.1</f>
        <v>3850.0000000000005</v>
      </c>
      <c r="M30" s="67">
        <f>+IF(L30&gt;K30,L30,K30)</f>
        <v>3850.0000000000005</v>
      </c>
      <c r="N30" s="67">
        <f>+J30-H30</f>
        <v>2761.3937456645963</v>
      </c>
      <c r="O30" s="67">
        <f>+M30-J30</f>
        <v>350.00000000000045</v>
      </c>
      <c r="P30" s="68">
        <f>(N30/J30)</f>
        <v>0.78896964161845606</v>
      </c>
    </row>
    <row r="31" spans="2:16" ht="14.25" customHeight="1" x14ac:dyDescent="0.3">
      <c r="B31" s="63" t="s">
        <v>86</v>
      </c>
      <c r="C31" s="91" t="s">
        <v>64</v>
      </c>
      <c r="D31" s="65">
        <f>+IFERROR(VLOOKUP(C31,'3) costo mp'!$B$4:$C$19,2,FALSE),"")</f>
        <v>1349.7620312612612</v>
      </c>
      <c r="E31" s="64">
        <v>1</v>
      </c>
      <c r="F31" s="66">
        <f t="shared" si="0"/>
        <v>1349.7620312612612</v>
      </c>
      <c r="G31" s="67">
        <f t="shared" si="2"/>
        <v>149.37234000000001</v>
      </c>
      <c r="H31" s="67">
        <f t="shared" si="3"/>
        <v>1499.1343712612611</v>
      </c>
      <c r="I31" s="67"/>
      <c r="J31" s="67">
        <v>3500</v>
      </c>
      <c r="K31" s="67">
        <f t="shared" si="1"/>
        <v>3747.835928153153</v>
      </c>
      <c r="L31" s="67">
        <f>+J31*1.1</f>
        <v>3850.0000000000005</v>
      </c>
      <c r="M31" s="67">
        <f>+IF(L31&gt;K31,L31,K31)</f>
        <v>3850.0000000000005</v>
      </c>
      <c r="N31" s="67">
        <f>+J31-H31</f>
        <v>2000.8656287387389</v>
      </c>
      <c r="O31" s="67">
        <f>+M31-J31</f>
        <v>350.00000000000045</v>
      </c>
      <c r="P31" s="68">
        <f>(N31/J31)</f>
        <v>0.57167589392535401</v>
      </c>
    </row>
    <row r="32" spans="2:16" ht="14.25" customHeight="1" x14ac:dyDescent="0.3">
      <c r="B32" s="63" t="s">
        <v>86</v>
      </c>
      <c r="C32" s="91" t="s">
        <v>63</v>
      </c>
      <c r="D32" s="65">
        <f>+IFERROR(VLOOKUP(C32,'3) costo mp'!$B$4:$C$19,2,FALSE),"")</f>
        <v>1427.2370312612613</v>
      </c>
      <c r="E32" s="64">
        <v>1</v>
      </c>
      <c r="F32" s="66">
        <f t="shared" si="0"/>
        <v>1427.2370312612613</v>
      </c>
      <c r="G32" s="67">
        <f t="shared" si="2"/>
        <v>149.37234000000001</v>
      </c>
      <c r="H32" s="67">
        <f t="shared" si="3"/>
        <v>1576.6093712612615</v>
      </c>
      <c r="I32" s="67"/>
      <c r="J32" s="67">
        <v>3500</v>
      </c>
      <c r="K32" s="67">
        <f t="shared" si="1"/>
        <v>3941.5234281531539</v>
      </c>
      <c r="L32" s="67">
        <f>+J32*1.1</f>
        <v>3850.0000000000005</v>
      </c>
      <c r="M32" s="67">
        <f>+IF(L32&gt;K32,L32,K32)</f>
        <v>3941.5234281531539</v>
      </c>
      <c r="N32" s="67">
        <f>+J32-H32</f>
        <v>1923.3906287387385</v>
      </c>
      <c r="O32" s="67">
        <f>+M32-J32</f>
        <v>441.52342815315387</v>
      </c>
      <c r="P32" s="68">
        <f>(N32/J32)</f>
        <v>0.54954017963963964</v>
      </c>
    </row>
    <row r="33" spans="2:16" ht="14.25" customHeight="1" x14ac:dyDescent="0.3">
      <c r="B33" s="63" t="s">
        <v>86</v>
      </c>
      <c r="C33" s="91" t="s">
        <v>61</v>
      </c>
      <c r="D33" s="65">
        <f>+IFERROR(VLOOKUP(C33,'3) costo mp'!$B$4:$C$19,2,FALSE),"")</f>
        <v>630.08327472527458</v>
      </c>
      <c r="E33" s="64">
        <v>1</v>
      </c>
      <c r="F33" s="66">
        <f t="shared" si="0"/>
        <v>630.08327472527458</v>
      </c>
      <c r="G33" s="67">
        <f t="shared" si="2"/>
        <v>149.37234000000001</v>
      </c>
      <c r="H33" s="67">
        <f t="shared" si="3"/>
        <v>779.45561472527459</v>
      </c>
      <c r="I33" s="67"/>
      <c r="J33" s="67">
        <v>3500</v>
      </c>
      <c r="K33" s="67">
        <f t="shared" si="1"/>
        <v>1948.6390368131865</v>
      </c>
      <c r="L33" s="67">
        <f>+J33*1.1</f>
        <v>3850.0000000000005</v>
      </c>
      <c r="M33" s="67">
        <f>+IF(L33&gt;K33,L33,K33)</f>
        <v>3850.0000000000005</v>
      </c>
      <c r="N33" s="67">
        <f>+J33-H33</f>
        <v>2720.5443852747253</v>
      </c>
      <c r="O33" s="67">
        <f>+M33-J33</f>
        <v>350.00000000000045</v>
      </c>
      <c r="P33" s="68">
        <f>(N33/J33)</f>
        <v>0.77729839579277871</v>
      </c>
    </row>
    <row r="34" spans="2:16" ht="14.25" customHeight="1" x14ac:dyDescent="0.3">
      <c r="B34" s="63" t="s">
        <v>86</v>
      </c>
      <c r="C34" s="91" t="s">
        <v>127</v>
      </c>
      <c r="D34" s="65">
        <f>+IFERROR(VLOOKUP(C34,'3) costo mp'!$B$4:$C$19,2,FALSE),"")</f>
        <v>905.60150940170945</v>
      </c>
      <c r="E34" s="64">
        <v>1</v>
      </c>
      <c r="F34" s="66">
        <f t="shared" si="0"/>
        <v>905.60150940170945</v>
      </c>
      <c r="G34" s="67">
        <f t="shared" si="2"/>
        <v>149.37234000000001</v>
      </c>
      <c r="H34" s="67">
        <f t="shared" si="3"/>
        <v>1054.9738494017095</v>
      </c>
      <c r="I34" s="67"/>
      <c r="J34" s="67">
        <v>3500</v>
      </c>
      <c r="K34" s="67">
        <f t="shared" si="1"/>
        <v>2637.4346235042735</v>
      </c>
      <c r="L34" s="67">
        <f>+J34*1.1</f>
        <v>3850.0000000000005</v>
      </c>
      <c r="M34" s="67">
        <f>+IF(L34&gt;K34,L34,K34)</f>
        <v>3850.0000000000005</v>
      </c>
      <c r="N34" s="67">
        <f>+J34-H34</f>
        <v>2445.0261505982908</v>
      </c>
      <c r="O34" s="67">
        <f>+M34-J34</f>
        <v>350.00000000000045</v>
      </c>
      <c r="P34" s="68">
        <f>(N34/J34)</f>
        <v>0.69857890017094026</v>
      </c>
    </row>
    <row r="35" spans="2:16" ht="14.25" customHeight="1" x14ac:dyDescent="0.3">
      <c r="B35" s="63" t="s">
        <v>86</v>
      </c>
      <c r="C35" s="91" t="s">
        <v>71</v>
      </c>
      <c r="D35" s="65">
        <f>+IFERROR(VLOOKUP(C35,'3) costo mp'!$B$4:$C$19,2,FALSE),"")</f>
        <v>561.37584561403503</v>
      </c>
      <c r="E35" s="64">
        <v>1</v>
      </c>
      <c r="F35" s="66">
        <f t="shared" si="0"/>
        <v>561.37584561403503</v>
      </c>
      <c r="G35" s="67">
        <f t="shared" si="2"/>
        <v>149.37234000000001</v>
      </c>
      <c r="H35" s="67">
        <f t="shared" si="3"/>
        <v>710.74818561403504</v>
      </c>
      <c r="I35" s="67"/>
      <c r="J35" s="67">
        <v>3500</v>
      </c>
      <c r="K35" s="67">
        <f t="shared" si="1"/>
        <v>1776.8704640350875</v>
      </c>
      <c r="L35" s="67">
        <f>+J35*1.1</f>
        <v>3850.0000000000005</v>
      </c>
      <c r="M35" s="67">
        <f>+IF(L35&gt;K35,L35,K35)</f>
        <v>3850.0000000000005</v>
      </c>
      <c r="N35" s="67">
        <f>+J35-H35</f>
        <v>2789.2518143859652</v>
      </c>
      <c r="O35" s="67">
        <f>+M35-J35</f>
        <v>350.00000000000045</v>
      </c>
      <c r="P35" s="68">
        <f>(N35/J35)</f>
        <v>0.79692908982456145</v>
      </c>
    </row>
    <row r="36" spans="2:16" ht="14.25" customHeight="1" x14ac:dyDescent="0.3">
      <c r="B36" s="78" t="s">
        <v>135</v>
      </c>
      <c r="C36" s="93" t="s">
        <v>63</v>
      </c>
      <c r="D36" s="80">
        <f>+IFERROR(VLOOKUP(C36,'3) costo mp'!$B$4:$C$19,2,FALSE),"")</f>
        <v>1427.2370312612613</v>
      </c>
      <c r="E36" s="79">
        <v>1</v>
      </c>
      <c r="F36" s="81">
        <f t="shared" ref="F36:F42" si="4">+IFERROR(D36*E36,"")</f>
        <v>1427.2370312612613</v>
      </c>
      <c r="G36" s="82">
        <f t="shared" si="2"/>
        <v>432.11468000000002</v>
      </c>
      <c r="H36" s="82">
        <f>+IFERROR(SUM(F36:F42)+G36,"")</f>
        <v>6122.1816992513886</v>
      </c>
      <c r="I36" s="82"/>
      <c r="J36" s="82"/>
      <c r="K36" s="82"/>
      <c r="L36" s="82"/>
      <c r="M36" s="82"/>
      <c r="N36" s="82"/>
      <c r="O36" s="82"/>
      <c r="P36" s="83"/>
    </row>
    <row r="37" spans="2:16" ht="14.25" customHeight="1" x14ac:dyDescent="0.3">
      <c r="B37" s="78" t="s">
        <v>135</v>
      </c>
      <c r="C37" s="93" t="s">
        <v>64</v>
      </c>
      <c r="D37" s="80">
        <f>+IFERROR(VLOOKUP(C37,'3) costo mp'!$B$4:$C$19,2,FALSE),"")</f>
        <v>1349.7620312612612</v>
      </c>
      <c r="E37" s="79">
        <v>1</v>
      </c>
      <c r="F37" s="81">
        <f t="shared" si="4"/>
        <v>1349.7620312612612</v>
      </c>
      <c r="G37" s="82"/>
      <c r="H37" s="82"/>
      <c r="I37" s="82"/>
      <c r="J37" s="82"/>
      <c r="K37" s="82"/>
      <c r="L37" s="82"/>
      <c r="M37" s="82"/>
      <c r="N37" s="82"/>
      <c r="O37" s="82"/>
      <c r="P37" s="83"/>
    </row>
    <row r="38" spans="2:16" ht="14.25" customHeight="1" x14ac:dyDescent="0.3">
      <c r="B38" s="78" t="s">
        <v>135</v>
      </c>
      <c r="C38" s="93" t="s">
        <v>127</v>
      </c>
      <c r="D38" s="80">
        <f>+IFERROR(VLOOKUP(C38,'3) costo mp'!$B$4:$C$19,2,FALSE),"")</f>
        <v>905.60150940170945</v>
      </c>
      <c r="E38" s="79">
        <v>1</v>
      </c>
      <c r="F38" s="81">
        <f t="shared" si="4"/>
        <v>905.60150940170945</v>
      </c>
      <c r="G38" s="82"/>
      <c r="H38" s="82"/>
      <c r="I38" s="82"/>
      <c r="J38" s="82"/>
      <c r="K38" s="82"/>
      <c r="L38" s="82"/>
      <c r="M38" s="82"/>
      <c r="N38" s="82"/>
      <c r="O38" s="82"/>
      <c r="P38" s="83"/>
    </row>
    <row r="39" spans="2:16" ht="14.25" customHeight="1" x14ac:dyDescent="0.3">
      <c r="B39" s="78" t="s">
        <v>135</v>
      </c>
      <c r="C39" s="91" t="s">
        <v>66</v>
      </c>
      <c r="D39" s="65">
        <f>+IFERROR(VLOOKUP(C39,'3) costo mp'!$B$4:$C$19,2,FALSE),"")</f>
        <v>148.49955888888888</v>
      </c>
      <c r="E39" s="64">
        <v>5</v>
      </c>
      <c r="F39" s="81">
        <f t="shared" ref="F39:F41" si="5">+IFERROR(D39*E39,"")</f>
        <v>742.49779444444448</v>
      </c>
      <c r="G39" s="82"/>
      <c r="H39" s="82"/>
      <c r="I39" s="82"/>
      <c r="J39" s="82"/>
      <c r="K39" s="82"/>
      <c r="L39" s="82"/>
      <c r="M39" s="82"/>
      <c r="N39" s="82"/>
      <c r="O39" s="82"/>
      <c r="P39" s="83"/>
    </row>
    <row r="40" spans="2:16" ht="14.25" customHeight="1" x14ac:dyDescent="0.3">
      <c r="B40" s="78" t="s">
        <v>135</v>
      </c>
      <c r="C40" s="93" t="s">
        <v>69</v>
      </c>
      <c r="D40" s="65">
        <f>+IFERROR(VLOOKUP(C40,'3) costo mp'!$B$4:$C$19,2,FALSE),"")</f>
        <v>147.28882962962962</v>
      </c>
      <c r="E40" s="64">
        <v>1</v>
      </c>
      <c r="F40" s="81">
        <f t="shared" si="5"/>
        <v>147.28882962962962</v>
      </c>
      <c r="G40" s="82"/>
      <c r="H40" s="82"/>
      <c r="I40" s="82"/>
      <c r="J40" s="82"/>
      <c r="K40" s="82"/>
      <c r="L40" s="82"/>
      <c r="M40" s="82"/>
      <c r="N40" s="82"/>
      <c r="O40" s="82"/>
      <c r="P40" s="83"/>
    </row>
    <row r="41" spans="2:16" ht="14.25" customHeight="1" x14ac:dyDescent="0.3">
      <c r="B41" s="78" t="s">
        <v>135</v>
      </c>
      <c r="C41" s="93" t="s">
        <v>68</v>
      </c>
      <c r="D41" s="65">
        <f>+IFERROR(VLOOKUP(C41,'3) costo mp'!$B$4:$C$19,2,FALSE),"")</f>
        <v>194.51099236641221</v>
      </c>
      <c r="E41" s="64">
        <v>3</v>
      </c>
      <c r="F41" s="81">
        <f t="shared" si="5"/>
        <v>583.53297709923663</v>
      </c>
      <c r="G41" s="82"/>
      <c r="H41" s="82"/>
      <c r="I41" s="82"/>
      <c r="J41" s="82"/>
      <c r="K41" s="82"/>
      <c r="L41" s="82"/>
      <c r="M41" s="82"/>
      <c r="N41" s="82"/>
      <c r="O41" s="82"/>
      <c r="P41" s="83"/>
    </row>
    <row r="42" spans="2:16" ht="14.25" customHeight="1" x14ac:dyDescent="0.3">
      <c r="B42" s="78" t="s">
        <v>135</v>
      </c>
      <c r="C42" s="93" t="s">
        <v>70</v>
      </c>
      <c r="D42" s="65">
        <f>+IFERROR(VLOOKUP(C42,'3) costo mp'!$B$4:$C$19,2,FALSE),"")</f>
        <v>178.04894871794872</v>
      </c>
      <c r="E42" s="64">
        <v>3</v>
      </c>
      <c r="F42" s="81">
        <f t="shared" si="4"/>
        <v>534.14684615384613</v>
      </c>
      <c r="G42" s="82"/>
      <c r="H42" s="82"/>
      <c r="I42" s="82"/>
      <c r="J42" s="82"/>
      <c r="K42" s="82"/>
      <c r="L42" s="82"/>
      <c r="M42" s="82"/>
      <c r="N42" s="82"/>
      <c r="O42" s="82"/>
      <c r="P42" s="83"/>
    </row>
    <row r="43" spans="2:16" ht="14.25" customHeight="1" x14ac:dyDescent="0.3">
      <c r="B43" s="72" t="s">
        <v>137</v>
      </c>
      <c r="C43" s="92" t="s">
        <v>63</v>
      </c>
      <c r="D43" s="65">
        <f>+IFERROR(VLOOKUP(C43,'3) costo mp'!$B$4:$C$19,2,FALSE),"")</f>
        <v>1427.2370312612613</v>
      </c>
      <c r="E43" s="74">
        <v>1</v>
      </c>
      <c r="F43" s="75">
        <f>+IFERROR(D43*E43,"")</f>
        <v>1427.2370312612613</v>
      </c>
      <c r="G43" s="67">
        <f>+IFERROR(VLOOKUP(B43,Packaging,6,FALSE),"")</f>
        <v>216.05734000000001</v>
      </c>
      <c r="H43" s="76">
        <f>+IFERROR(SUM(F43:F45)+G43,"")</f>
        <v>2796.3929490496412</v>
      </c>
      <c r="I43" s="73"/>
      <c r="J43" s="73"/>
      <c r="K43" s="73"/>
      <c r="L43" s="73"/>
      <c r="M43" s="73"/>
      <c r="N43" s="73"/>
      <c r="O43" s="73"/>
      <c r="P43" s="77"/>
    </row>
    <row r="44" spans="2:16" ht="14.25" customHeight="1" x14ac:dyDescent="0.3">
      <c r="B44" s="78" t="s">
        <v>137</v>
      </c>
      <c r="C44" s="93" t="s">
        <v>59</v>
      </c>
      <c r="D44" s="65">
        <f>+IFERROR(VLOOKUP(C44,'3) costo mp'!$B$4:$C$19,2,FALSE),"")</f>
        <v>764.07659305555558</v>
      </c>
      <c r="E44" s="79">
        <v>1</v>
      </c>
      <c r="F44" s="81">
        <f t="shared" ref="F44:F45" si="6">+IFERROR(D44*E44,"")</f>
        <v>764.07659305555558</v>
      </c>
      <c r="G44" s="67"/>
      <c r="H44" s="82"/>
      <c r="I44" s="82"/>
      <c r="J44" s="82"/>
      <c r="K44" s="82"/>
      <c r="L44" s="82"/>
      <c r="M44" s="82"/>
      <c r="N44" s="82"/>
      <c r="O44" s="82"/>
      <c r="P44" s="83"/>
    </row>
    <row r="45" spans="2:16" ht="14.25" customHeight="1" x14ac:dyDescent="0.3">
      <c r="B45" s="84" t="s">
        <v>137</v>
      </c>
      <c r="C45" s="94" t="s">
        <v>68</v>
      </c>
      <c r="D45" s="86">
        <f>+IFERROR(VLOOKUP(C45,'3) costo mp'!$B$4:$C$19,2,FALSE),"")</f>
        <v>194.51099236641221</v>
      </c>
      <c r="E45" s="85">
        <v>2</v>
      </c>
      <c r="F45" s="87">
        <f t="shared" si="6"/>
        <v>389.02198473282442</v>
      </c>
      <c r="G45" s="67"/>
      <c r="H45" s="88"/>
      <c r="I45" s="88"/>
      <c r="J45" s="88"/>
      <c r="K45" s="88"/>
      <c r="L45" s="88"/>
      <c r="M45" s="88"/>
      <c r="N45" s="88"/>
      <c r="O45" s="88"/>
      <c r="P45" s="89"/>
    </row>
    <row r="46" spans="2:16" ht="14.25" customHeight="1" x14ac:dyDescent="0.3">
      <c r="B46" s="78" t="s">
        <v>134</v>
      </c>
      <c r="C46" s="93" t="s">
        <v>63</v>
      </c>
      <c r="D46" s="80">
        <f>+IFERROR(VLOOKUP(C46,'3) costo mp'!$B$4:$C$19,2,FALSE),"")</f>
        <v>1427.2370312612613</v>
      </c>
      <c r="E46" s="79">
        <v>1</v>
      </c>
      <c r="F46" s="81">
        <f>+IFERROR(D46*E46,"")</f>
        <v>1427.2370312612613</v>
      </c>
      <c r="G46" s="82">
        <f>+IFERROR(VLOOKUP(B46,Packaging,6,FALSE),"")</f>
        <v>216.05734000000001</v>
      </c>
      <c r="H46" s="82">
        <f>+IFERROR(SUM(F46:F50)+G46,"")</f>
        <v>3246.7892168217959</v>
      </c>
      <c r="I46" s="82"/>
      <c r="J46" s="82"/>
      <c r="K46" s="82"/>
      <c r="L46" s="82"/>
      <c r="M46" s="82"/>
      <c r="N46" s="82"/>
      <c r="O46" s="82"/>
      <c r="P46" s="83"/>
    </row>
    <row r="47" spans="2:16" ht="14.25" customHeight="1" x14ac:dyDescent="0.3">
      <c r="B47" s="78" t="s">
        <v>134</v>
      </c>
      <c r="C47" s="93" t="s">
        <v>71</v>
      </c>
      <c r="D47" s="80">
        <f>+IFERROR(VLOOKUP(C47,'3) costo mp'!$B$4:$C$19,2,FALSE),"")</f>
        <v>561.37584561403503</v>
      </c>
      <c r="E47" s="79">
        <v>1</v>
      </c>
      <c r="F47" s="81">
        <f t="shared" ref="F47:F48" si="7">+IFERROR(D47*E47,"")</f>
        <v>561.37584561403503</v>
      </c>
      <c r="G47" s="82"/>
      <c r="H47" s="82"/>
      <c r="I47" s="82"/>
      <c r="J47" s="82"/>
      <c r="K47" s="82"/>
      <c r="L47" s="82"/>
      <c r="M47" s="82"/>
      <c r="N47" s="82"/>
      <c r="O47" s="82"/>
      <c r="P47" s="83"/>
    </row>
    <row r="48" spans="2:16" ht="14.25" customHeight="1" x14ac:dyDescent="0.3">
      <c r="B48" s="78" t="s">
        <v>134</v>
      </c>
      <c r="C48" s="91" t="s">
        <v>66</v>
      </c>
      <c r="D48" s="86">
        <f>+IFERROR(VLOOKUP(C48,'3) costo mp'!$B$4:$C$19,2,FALSE),"")</f>
        <v>148.49955888888888</v>
      </c>
      <c r="E48" s="85">
        <v>2</v>
      </c>
      <c r="F48" s="87">
        <f t="shared" si="7"/>
        <v>296.99911777777777</v>
      </c>
      <c r="G48" s="88"/>
      <c r="H48" s="88"/>
      <c r="I48" s="88"/>
      <c r="J48" s="88"/>
      <c r="K48" s="88"/>
      <c r="L48" s="88"/>
      <c r="M48" s="88"/>
      <c r="N48" s="88"/>
      <c r="O48" s="88"/>
      <c r="P48" s="89"/>
    </row>
    <row r="49" spans="2:16" ht="14.25" customHeight="1" x14ac:dyDescent="0.3">
      <c r="B49" s="78" t="s">
        <v>134</v>
      </c>
      <c r="C49" s="91" t="s">
        <v>70</v>
      </c>
      <c r="D49" s="80">
        <f>+IFERROR(VLOOKUP(C49,'3) costo mp'!$B$4:$C$19,2,FALSE),"")</f>
        <v>178.04894871794872</v>
      </c>
      <c r="E49" s="79">
        <v>2</v>
      </c>
      <c r="F49" s="81">
        <f t="shared" ref="F49:F50" si="8">+IFERROR(D49*E49,"")</f>
        <v>356.09789743589744</v>
      </c>
      <c r="G49" s="82"/>
      <c r="H49" s="82"/>
      <c r="I49" s="82"/>
      <c r="J49" s="82"/>
      <c r="K49" s="82"/>
      <c r="L49" s="82"/>
      <c r="M49" s="82"/>
      <c r="N49" s="82"/>
      <c r="O49" s="82"/>
      <c r="P49" s="83"/>
    </row>
    <row r="50" spans="2:16" ht="14.25" customHeight="1" x14ac:dyDescent="0.3">
      <c r="B50" s="78" t="s">
        <v>134</v>
      </c>
      <c r="C50" s="91" t="s">
        <v>68</v>
      </c>
      <c r="D50" s="80">
        <f>+IFERROR(VLOOKUP(C50,'3) costo mp'!$B$4:$C$19,2,FALSE),"")</f>
        <v>194.51099236641221</v>
      </c>
      <c r="E50" s="79">
        <v>2</v>
      </c>
      <c r="F50" s="81">
        <f t="shared" si="8"/>
        <v>389.02198473282442</v>
      </c>
      <c r="G50" s="82"/>
      <c r="H50" s="82"/>
      <c r="I50" s="82"/>
      <c r="J50" s="82"/>
      <c r="K50" s="82"/>
      <c r="L50" s="82"/>
      <c r="M50" s="82"/>
      <c r="N50" s="82"/>
      <c r="O50" s="82"/>
      <c r="P50" s="83"/>
    </row>
    <row r="51" spans="2:16" ht="14.25" customHeight="1" x14ac:dyDescent="0.3">
      <c r="B51" s="84" t="s">
        <v>133</v>
      </c>
      <c r="C51" s="94" t="s">
        <v>63</v>
      </c>
      <c r="D51" s="86">
        <f>+IFERROR(VLOOKUP(C51,'3) costo mp'!$B$4:$C$19,2,FALSE),"")</f>
        <v>1427.2370312612613</v>
      </c>
      <c r="E51" s="85">
        <v>1</v>
      </c>
      <c r="F51" s="87">
        <f>+IFERROR(D51*E51,"")</f>
        <v>1427.2370312612613</v>
      </c>
      <c r="G51" s="88">
        <f>+IFERROR(VLOOKUP(B51,Packaging,6,FALSE),"")</f>
        <v>216.05734000000001</v>
      </c>
      <c r="H51" s="88">
        <f>+IFERROR(SUM(F51)+G51,"")</f>
        <v>1643.2943712612614</v>
      </c>
      <c r="I51" s="88"/>
      <c r="J51" s="88"/>
      <c r="K51" s="88"/>
      <c r="L51" s="88"/>
      <c r="M51" s="88"/>
      <c r="N51" s="88"/>
      <c r="O51" s="88"/>
      <c r="P51" s="89"/>
    </row>
    <row r="52" spans="2:16" ht="14.25" customHeight="1" x14ac:dyDescent="0.3">
      <c r="B52" s="84" t="s">
        <v>133</v>
      </c>
      <c r="C52" s="94" t="s">
        <v>57</v>
      </c>
      <c r="D52" s="86">
        <f>+IFERROR(VLOOKUP(C52,'3) costo mp'!$B$4:$C$19,2,FALSE),"")</f>
        <v>578.12713472222231</v>
      </c>
      <c r="E52" s="85">
        <v>1</v>
      </c>
      <c r="F52" s="87">
        <f>+IFERROR(D52*E52,"")</f>
        <v>578.12713472222231</v>
      </c>
      <c r="G52" s="88"/>
      <c r="H52" s="88">
        <f>+IFERROR(SUM(F52)+G52,"")</f>
        <v>578.12713472222231</v>
      </c>
      <c r="I52" s="88"/>
      <c r="J52" s="88"/>
      <c r="K52" s="88"/>
      <c r="L52" s="88"/>
      <c r="M52" s="88"/>
      <c r="N52" s="88"/>
      <c r="O52" s="88"/>
      <c r="P52" s="89"/>
    </row>
    <row r="53" spans="2:16" ht="14.25" customHeight="1" x14ac:dyDescent="0.3">
      <c r="B53" s="84" t="s">
        <v>133</v>
      </c>
      <c r="C53" s="94" t="s">
        <v>66</v>
      </c>
      <c r="D53" s="86">
        <f>+IFERROR(VLOOKUP(C53,'3) costo mp'!$B$4:$C$19,2,FALSE),"")</f>
        <v>148.49955888888888</v>
      </c>
      <c r="E53" s="85">
        <v>2</v>
      </c>
      <c r="F53" s="87">
        <f>+IFERROR(D53*E53,"")</f>
        <v>296.99911777777777</v>
      </c>
      <c r="G53" s="88"/>
      <c r="H53" s="88">
        <f>+IFERROR(SUM(F53)+G53,"")</f>
        <v>296.99911777777777</v>
      </c>
      <c r="I53" s="88"/>
      <c r="J53" s="88"/>
      <c r="K53" s="88"/>
      <c r="L53" s="88"/>
      <c r="M53" s="88"/>
      <c r="N53" s="88"/>
      <c r="O53" s="88"/>
      <c r="P53" s="89"/>
    </row>
    <row r="54" spans="2:16" ht="14.25" customHeight="1" x14ac:dyDescent="0.3">
      <c r="B54" s="84" t="s">
        <v>133</v>
      </c>
      <c r="C54" s="94" t="s">
        <v>68</v>
      </c>
      <c r="D54" s="86">
        <f>+IFERROR(VLOOKUP(C54,'3) costo mp'!$B$4:$C$19,2,FALSE),"")</f>
        <v>194.51099236641221</v>
      </c>
      <c r="E54" s="85">
        <v>2</v>
      </c>
      <c r="F54" s="87">
        <f>+IFERROR(D54*E54,"")</f>
        <v>389.02198473282442</v>
      </c>
      <c r="G54" s="88"/>
      <c r="H54" s="88">
        <f>+IFERROR(SUM(F54)+G54,"")</f>
        <v>389.02198473282442</v>
      </c>
      <c r="I54" s="88"/>
      <c r="J54" s="88"/>
      <c r="K54" s="88"/>
      <c r="L54" s="88"/>
      <c r="M54" s="88"/>
      <c r="N54" s="88"/>
      <c r="O54" s="88"/>
      <c r="P54" s="89"/>
    </row>
    <row r="55" spans="2:16" ht="14.25" customHeight="1" x14ac:dyDescent="0.3">
      <c r="B55" s="84" t="s">
        <v>136</v>
      </c>
      <c r="C55" s="91" t="s">
        <v>64</v>
      </c>
      <c r="D55" s="86">
        <f>+IFERROR(VLOOKUP(C55,'3) costo mp'!$B$4:$C$19,2,FALSE),"")</f>
        <v>1349.7620312612612</v>
      </c>
      <c r="E55" s="85">
        <v>1</v>
      </c>
      <c r="F55" s="87">
        <f>+IFERROR(D55*E55,"")</f>
        <v>1349.7620312612612</v>
      </c>
      <c r="G55" s="88">
        <f>+IFERROR(VLOOKUP(B55,Packaging,6,FALSE),"")</f>
        <v>432.11468000000002</v>
      </c>
      <c r="H55" s="88">
        <f>+IFERROR(SUM(F55)+G55,"")</f>
        <v>1781.8767112612613</v>
      </c>
      <c r="I55" s="88"/>
      <c r="J55" s="88"/>
      <c r="K55" s="88"/>
      <c r="L55" s="88"/>
      <c r="M55" s="88"/>
      <c r="N55" s="88"/>
      <c r="O55" s="88"/>
      <c r="P55" s="89"/>
    </row>
    <row r="56" spans="2:16" ht="14.25" customHeight="1" x14ac:dyDescent="0.3">
      <c r="B56" s="84" t="s">
        <v>136</v>
      </c>
      <c r="C56" s="91" t="s">
        <v>71</v>
      </c>
      <c r="D56" s="80">
        <f>+IFERROR(VLOOKUP(C56,'3) costo mp'!$B$4:$C$19,2,FALSE),"")</f>
        <v>561.37584561403503</v>
      </c>
      <c r="E56" s="79">
        <v>1</v>
      </c>
      <c r="F56" s="81">
        <f t="shared" ref="F56:F57" si="9">+IFERROR(D56*E56,"")</f>
        <v>561.37584561403503</v>
      </c>
      <c r="G56" s="82"/>
      <c r="H56" s="82">
        <f t="shared" ref="H56:H57" si="10">+IFERROR(SUM(F56)+G56,"")</f>
        <v>561.37584561403503</v>
      </c>
      <c r="I56" s="82"/>
      <c r="J56" s="82"/>
      <c r="K56" s="82"/>
      <c r="L56" s="82"/>
      <c r="M56" s="82"/>
      <c r="N56" s="82"/>
      <c r="O56" s="82"/>
      <c r="P56" s="83"/>
    </row>
    <row r="57" spans="2:16" ht="14.25" customHeight="1" x14ac:dyDescent="0.3">
      <c r="B57" s="84" t="s">
        <v>136</v>
      </c>
      <c r="C57" s="91" t="s">
        <v>63</v>
      </c>
      <c r="D57" s="80">
        <f>+IFERROR(VLOOKUP(C57,'3) costo mp'!$B$4:$C$19,2,FALSE),"")</f>
        <v>1427.2370312612613</v>
      </c>
      <c r="E57" s="79">
        <v>1</v>
      </c>
      <c r="F57" s="81">
        <f t="shared" si="9"/>
        <v>1427.2370312612613</v>
      </c>
      <c r="G57" s="82"/>
      <c r="H57" s="82">
        <f t="shared" si="10"/>
        <v>1427.2370312612613</v>
      </c>
      <c r="I57" s="82"/>
      <c r="J57" s="82"/>
      <c r="K57" s="82"/>
      <c r="L57" s="82"/>
      <c r="M57" s="82"/>
      <c r="N57" s="82"/>
      <c r="O57" s="82"/>
      <c r="P57" s="83"/>
    </row>
    <row r="58" spans="2:16" ht="14.25" customHeight="1" x14ac:dyDescent="0.3">
      <c r="B58" s="84" t="s">
        <v>136</v>
      </c>
      <c r="C58" s="94" t="s">
        <v>57</v>
      </c>
      <c r="D58" s="86">
        <f>+IFERROR(VLOOKUP(C58,'3) costo mp'!$B$4:$C$19,2,FALSE),"")</f>
        <v>578.12713472222231</v>
      </c>
      <c r="E58" s="85">
        <v>1</v>
      </c>
      <c r="F58" s="87">
        <f>+IFERROR(D58*E58,"")</f>
        <v>578.12713472222231</v>
      </c>
      <c r="G58" s="88"/>
      <c r="H58" s="88">
        <f>+IFERROR(SUM(F58)+G58,"")</f>
        <v>578.12713472222231</v>
      </c>
      <c r="I58" s="88"/>
      <c r="J58" s="88"/>
      <c r="K58" s="88"/>
      <c r="L58" s="88"/>
      <c r="M58" s="88"/>
      <c r="N58" s="88"/>
      <c r="O58" s="88"/>
      <c r="P58" s="89"/>
    </row>
    <row r="59" spans="2:16" ht="14.25" customHeight="1" x14ac:dyDescent="0.3">
      <c r="B59" s="84" t="s">
        <v>136</v>
      </c>
      <c r="C59" s="94" t="s">
        <v>59</v>
      </c>
      <c r="D59" s="86">
        <f>+IFERROR(VLOOKUP(C59,'3) costo mp'!$B$4:$C$19,2,FALSE),"")</f>
        <v>764.07659305555558</v>
      </c>
      <c r="E59" s="85">
        <v>1</v>
      </c>
      <c r="F59" s="87">
        <f>+IFERROR(D59*E59,"")</f>
        <v>764.07659305555558</v>
      </c>
      <c r="G59" s="88"/>
      <c r="H59" s="88">
        <f>+IFERROR(SUM(F59)+G59,"")</f>
        <v>764.07659305555558</v>
      </c>
      <c r="I59" s="88"/>
      <c r="J59" s="88"/>
      <c r="K59" s="88"/>
      <c r="L59" s="88"/>
      <c r="M59" s="88"/>
      <c r="N59" s="88"/>
      <c r="O59" s="88"/>
      <c r="P59" s="89"/>
    </row>
    <row r="60" spans="2:16" ht="14.25" customHeight="1" x14ac:dyDescent="0.3">
      <c r="B60" s="84" t="s">
        <v>136</v>
      </c>
      <c r="C60" s="93" t="s">
        <v>66</v>
      </c>
      <c r="D60" s="80">
        <f>+IFERROR(VLOOKUP(C60,'3) costo mp'!$B$4:$C$19,2,FALSE),"")</f>
        <v>148.49955888888888</v>
      </c>
      <c r="E60" s="79">
        <v>2</v>
      </c>
      <c r="F60" s="81">
        <f t="shared" ref="F60:F62" si="11">+IFERROR(D60*E60,"")</f>
        <v>296.99911777777777</v>
      </c>
      <c r="G60" s="82"/>
      <c r="H60" s="82">
        <f t="shared" ref="H60:H62" si="12">+IFERROR(SUM(F60)+G60,"")</f>
        <v>296.99911777777777</v>
      </c>
      <c r="I60" s="82"/>
      <c r="J60" s="82"/>
      <c r="K60" s="82"/>
      <c r="L60" s="82"/>
      <c r="M60" s="82"/>
      <c r="N60" s="82"/>
      <c r="O60" s="82"/>
      <c r="P60" s="83"/>
    </row>
    <row r="61" spans="2:16" ht="14.25" customHeight="1" x14ac:dyDescent="0.3">
      <c r="B61" s="84" t="s">
        <v>136</v>
      </c>
      <c r="C61" s="93" t="s">
        <v>70</v>
      </c>
      <c r="D61" s="80">
        <f>+IFERROR(VLOOKUP(C61,'3) costo mp'!$B$4:$C$19,2,FALSE),"")</f>
        <v>178.04894871794872</v>
      </c>
      <c r="E61" s="79">
        <v>1</v>
      </c>
      <c r="F61" s="81">
        <f t="shared" si="11"/>
        <v>178.04894871794872</v>
      </c>
      <c r="G61" s="82"/>
      <c r="H61" s="82">
        <f t="shared" si="12"/>
        <v>178.04894871794872</v>
      </c>
      <c r="I61" s="82"/>
      <c r="J61" s="82"/>
      <c r="K61" s="82"/>
      <c r="L61" s="82"/>
      <c r="M61" s="82"/>
      <c r="N61" s="82"/>
      <c r="O61" s="82"/>
      <c r="P61" s="83"/>
    </row>
    <row r="62" spans="2:16" ht="14.25" customHeight="1" x14ac:dyDescent="0.3">
      <c r="B62" s="84" t="s">
        <v>136</v>
      </c>
      <c r="C62" s="94" t="s">
        <v>68</v>
      </c>
      <c r="D62" s="86">
        <f>+IFERROR(VLOOKUP(C62,'3) costo mp'!$B$4:$C$19,2,FALSE),"")</f>
        <v>194.51099236641221</v>
      </c>
      <c r="E62" s="85">
        <v>1</v>
      </c>
      <c r="F62" s="87">
        <f t="shared" si="11"/>
        <v>194.51099236641221</v>
      </c>
      <c r="G62" s="88"/>
      <c r="H62" s="88">
        <f t="shared" si="12"/>
        <v>194.51099236641221</v>
      </c>
      <c r="I62" s="88"/>
      <c r="J62" s="88"/>
      <c r="K62" s="88"/>
      <c r="L62" s="88"/>
      <c r="M62" s="88"/>
      <c r="N62" s="88"/>
      <c r="O62" s="88"/>
      <c r="P62" s="89"/>
    </row>
    <row r="63" spans="2:16" ht="14.25" customHeight="1" x14ac:dyDescent="0.3">
      <c r="B63" s="57"/>
      <c r="C63" s="56"/>
      <c r="D63" s="2"/>
      <c r="F63" s="2"/>
      <c r="G63" s="2"/>
      <c r="H63" s="2"/>
      <c r="I63" s="2"/>
      <c r="P63" s="58"/>
    </row>
    <row r="64" spans="2:16" ht="14.25" customHeight="1" x14ac:dyDescent="0.3">
      <c r="B64" s="57"/>
      <c r="C64" s="56"/>
      <c r="D64" s="2"/>
      <c r="F64" s="2"/>
      <c r="G64" s="2"/>
      <c r="H64" s="2"/>
      <c r="I64" s="2"/>
      <c r="P64" s="58"/>
    </row>
    <row r="65" spans="2:16" ht="14.25" customHeight="1" x14ac:dyDescent="0.3">
      <c r="B65" s="57"/>
      <c r="C65" s="56"/>
      <c r="D65" s="2"/>
      <c r="F65" s="2"/>
      <c r="G65" s="2"/>
      <c r="H65" s="2"/>
      <c r="I65" s="2"/>
      <c r="P65" s="58"/>
    </row>
    <row r="66" spans="2:16" ht="14.25" customHeight="1" x14ac:dyDescent="0.3">
      <c r="B66" s="57"/>
      <c r="C66" s="56"/>
      <c r="D66" s="2"/>
      <c r="F66" s="2"/>
      <c r="G66" s="2"/>
      <c r="H66" s="2"/>
      <c r="I66" s="2"/>
      <c r="P66" s="58"/>
    </row>
    <row r="67" spans="2:16" ht="14.25" customHeight="1" x14ac:dyDescent="0.3">
      <c r="B67" s="57"/>
      <c r="C67" s="56"/>
      <c r="D67" s="2"/>
      <c r="F67" s="2"/>
      <c r="G67" s="2"/>
      <c r="H67" s="2"/>
      <c r="I67" s="2"/>
      <c r="P67" s="58"/>
    </row>
    <row r="68" spans="2:16" ht="14.25" customHeight="1" x14ac:dyDescent="0.3">
      <c r="B68" s="57"/>
      <c r="C68" s="56"/>
      <c r="D68" s="2"/>
      <c r="F68" s="2"/>
      <c r="G68" s="2"/>
      <c r="H68" s="2"/>
      <c r="I68" s="2"/>
      <c r="P68" s="58"/>
    </row>
    <row r="69" spans="2:16" ht="14.25" customHeight="1" x14ac:dyDescent="0.3">
      <c r="B69" s="57"/>
      <c r="C69" s="56"/>
      <c r="D69" s="2"/>
      <c r="F69" s="2"/>
      <c r="G69" s="2"/>
      <c r="H69" s="2"/>
      <c r="I69" s="2"/>
      <c r="P69" s="58"/>
    </row>
    <row r="70" spans="2:16" ht="14.25" customHeight="1" x14ac:dyDescent="0.3">
      <c r="B70" s="57"/>
      <c r="C70" s="56"/>
      <c r="D70" s="2"/>
      <c r="F70" s="2"/>
      <c r="G70" s="2"/>
      <c r="H70" s="2"/>
      <c r="I70" s="2"/>
      <c r="P70" s="58"/>
    </row>
    <row r="71" spans="2:16" ht="14.25" customHeight="1" x14ac:dyDescent="0.3">
      <c r="B71" s="57"/>
      <c r="C71" s="56"/>
      <c r="D71" s="2"/>
      <c r="F71" s="2"/>
      <c r="G71" s="2"/>
      <c r="H71" s="2"/>
      <c r="I71" s="2"/>
      <c r="P71" s="58"/>
    </row>
    <row r="72" spans="2:16" ht="14.25" customHeight="1" x14ac:dyDescent="0.3">
      <c r="B72" s="57"/>
      <c r="C72" s="56"/>
      <c r="D72" s="2"/>
      <c r="F72" s="2"/>
      <c r="G72" s="2"/>
      <c r="H72" s="2"/>
      <c r="I72" s="2"/>
      <c r="P72" s="58"/>
    </row>
    <row r="73" spans="2:16" ht="14.25" customHeight="1" x14ac:dyDescent="0.3">
      <c r="B73" s="57"/>
      <c r="C73" s="56"/>
      <c r="D73" s="2"/>
      <c r="F73" s="2"/>
      <c r="G73" s="2"/>
      <c r="H73" s="2"/>
      <c r="I73" s="2"/>
      <c r="P73" s="58"/>
    </row>
    <row r="74" spans="2:16" ht="14.25" customHeight="1" x14ac:dyDescent="0.3">
      <c r="B74" s="57"/>
      <c r="C74" s="56"/>
      <c r="D74" s="2"/>
      <c r="F74" s="2"/>
      <c r="G74" s="2"/>
      <c r="H74" s="2"/>
      <c r="I74" s="2"/>
      <c r="P74" s="58"/>
    </row>
    <row r="75" spans="2:16" ht="14.25" customHeight="1" x14ac:dyDescent="0.3">
      <c r="B75" s="57"/>
      <c r="C75" s="56"/>
      <c r="D75" s="2"/>
      <c r="F75" s="2"/>
      <c r="G75" s="2"/>
      <c r="H75" s="2"/>
      <c r="I75" s="2"/>
      <c r="P75" s="58"/>
    </row>
    <row r="76" spans="2:16" ht="14.25" customHeight="1" x14ac:dyDescent="0.3">
      <c r="B76" s="57"/>
      <c r="C76" s="56"/>
      <c r="D76" s="2"/>
      <c r="F76" s="2"/>
      <c r="G76" s="2"/>
      <c r="H76" s="2"/>
      <c r="I76" s="2"/>
      <c r="P76" s="58"/>
    </row>
    <row r="77" spans="2:16" ht="14.25" customHeight="1" x14ac:dyDescent="0.3">
      <c r="B77" s="57"/>
      <c r="C77" s="56"/>
      <c r="D77" s="2"/>
      <c r="F77" s="2"/>
      <c r="G77" s="2"/>
      <c r="H77" s="2"/>
      <c r="I77" s="2"/>
      <c r="P77" s="58"/>
    </row>
    <row r="78" spans="2:16" ht="14.25" customHeight="1" x14ac:dyDescent="0.3">
      <c r="B78" s="57"/>
      <c r="C78" s="56"/>
      <c r="D78" s="2"/>
      <c r="F78" s="2"/>
      <c r="G78" s="2"/>
      <c r="H78" s="2"/>
      <c r="I78" s="2"/>
      <c r="P78" s="58"/>
    </row>
    <row r="79" spans="2:16" ht="14.25" customHeight="1" x14ac:dyDescent="0.3">
      <c r="B79" s="57"/>
      <c r="C79" s="56"/>
      <c r="D79" s="2"/>
      <c r="F79" s="2"/>
      <c r="G79" s="2"/>
      <c r="H79" s="2"/>
      <c r="I79" s="2"/>
      <c r="P79" s="58"/>
    </row>
    <row r="80" spans="2:16" ht="14.25" customHeight="1" x14ac:dyDescent="0.3">
      <c r="B80" s="57"/>
      <c r="C80" s="56"/>
      <c r="D80" s="2"/>
      <c r="F80" s="2"/>
      <c r="G80" s="2"/>
      <c r="H80" s="2"/>
      <c r="I80" s="2"/>
      <c r="P80" s="58"/>
    </row>
    <row r="81" spans="2:16" ht="14.25" customHeight="1" x14ac:dyDescent="0.3">
      <c r="B81" s="57"/>
      <c r="C81" s="56"/>
      <c r="D81" s="2"/>
      <c r="F81" s="2"/>
      <c r="G81" s="2"/>
      <c r="H81" s="2"/>
      <c r="I81" s="2"/>
      <c r="P81" s="58"/>
    </row>
    <row r="82" spans="2:16" ht="14.25" customHeight="1" x14ac:dyDescent="0.3">
      <c r="B82" s="57"/>
      <c r="C82" s="56"/>
      <c r="D82" s="2"/>
      <c r="F82" s="2"/>
      <c r="G82" s="2"/>
      <c r="H82" s="2"/>
      <c r="I82" s="2"/>
      <c r="P82" s="58"/>
    </row>
    <row r="83" spans="2:16" ht="14.25" customHeight="1" x14ac:dyDescent="0.3">
      <c r="B83" s="57"/>
      <c r="C83" s="56"/>
      <c r="D83" s="2"/>
      <c r="F83" s="2"/>
      <c r="G83" s="2"/>
      <c r="H83" s="2"/>
      <c r="I83" s="2"/>
      <c r="P83" s="58"/>
    </row>
    <row r="84" spans="2:16" ht="14.25" customHeight="1" x14ac:dyDescent="0.3">
      <c r="B84" s="57"/>
      <c r="C84" s="56"/>
      <c r="D84" s="2"/>
      <c r="F84" s="2"/>
      <c r="G84" s="2"/>
      <c r="H84" s="2"/>
      <c r="I84" s="2"/>
      <c r="P84" s="58"/>
    </row>
    <row r="85" spans="2:16" ht="14.25" customHeight="1" x14ac:dyDescent="0.3">
      <c r="B85" s="57"/>
      <c r="C85" s="56"/>
      <c r="D85" s="2"/>
      <c r="F85" s="2"/>
      <c r="G85" s="2"/>
      <c r="H85" s="2"/>
      <c r="I85" s="2"/>
      <c r="P85" s="58"/>
    </row>
    <row r="86" spans="2:16" ht="14.25" customHeight="1" x14ac:dyDescent="0.3">
      <c r="B86" s="57"/>
      <c r="C86" s="56"/>
      <c r="D86" s="2"/>
      <c r="F86" s="2"/>
      <c r="G86" s="2"/>
      <c r="H86" s="2"/>
      <c r="I86" s="2"/>
      <c r="P86" s="58"/>
    </row>
    <row r="87" spans="2:16" ht="14.25" customHeight="1" x14ac:dyDescent="0.3">
      <c r="B87" s="57"/>
      <c r="C87" s="56"/>
      <c r="D87" s="2"/>
      <c r="F87" s="2"/>
      <c r="G87" s="2"/>
      <c r="H87" s="2"/>
      <c r="I87" s="2"/>
      <c r="P87" s="58"/>
    </row>
    <row r="88" spans="2:16" ht="14.25" customHeight="1" x14ac:dyDescent="0.3">
      <c r="B88" s="57"/>
      <c r="C88" s="56"/>
      <c r="D88" s="2"/>
      <c r="F88" s="2"/>
      <c r="G88" s="2"/>
      <c r="H88" s="2"/>
      <c r="I88" s="2"/>
      <c r="P88" s="58"/>
    </row>
    <row r="89" spans="2:16" ht="14.25" customHeight="1" x14ac:dyDescent="0.3">
      <c r="B89" s="57"/>
      <c r="C89" s="56"/>
      <c r="D89" s="2"/>
      <c r="F89" s="2"/>
      <c r="G89" s="2"/>
      <c r="H89" s="2"/>
      <c r="I89" s="2"/>
      <c r="P89" s="58"/>
    </row>
    <row r="90" spans="2:16" ht="14.25" customHeight="1" x14ac:dyDescent="0.3">
      <c r="B90" s="57"/>
      <c r="C90" s="56"/>
      <c r="D90" s="2"/>
      <c r="F90" s="2"/>
      <c r="G90" s="2"/>
      <c r="H90" s="2"/>
      <c r="I90" s="2"/>
      <c r="P90" s="58"/>
    </row>
    <row r="91" spans="2:16" ht="14.25" customHeight="1" x14ac:dyDescent="0.3">
      <c r="B91" s="57"/>
      <c r="C91" s="56"/>
      <c r="D91" s="2"/>
      <c r="F91" s="2"/>
      <c r="G91" s="2"/>
      <c r="H91" s="2"/>
      <c r="I91" s="2"/>
      <c r="P91" s="58"/>
    </row>
    <row r="92" spans="2:16" ht="14.25" customHeight="1" x14ac:dyDescent="0.3">
      <c r="B92" s="57"/>
      <c r="C92" s="56"/>
      <c r="D92" s="2"/>
      <c r="F92" s="2"/>
      <c r="G92" s="2"/>
      <c r="H92" s="2"/>
      <c r="I92" s="2"/>
      <c r="P92" s="58"/>
    </row>
    <row r="93" spans="2:16" ht="14.25" customHeight="1" x14ac:dyDescent="0.3">
      <c r="B93" s="57"/>
      <c r="C93" s="56"/>
      <c r="D93" s="2"/>
      <c r="F93" s="2"/>
      <c r="G93" s="2"/>
      <c r="H93" s="2"/>
      <c r="I93" s="2"/>
      <c r="P93" s="58"/>
    </row>
    <row r="94" spans="2:16" ht="14.25" customHeight="1" x14ac:dyDescent="0.3">
      <c r="B94" s="57"/>
      <c r="C94" s="56"/>
      <c r="D94" s="2"/>
      <c r="F94" s="2"/>
      <c r="G94" s="2"/>
      <c r="H94" s="2"/>
      <c r="I94" s="2"/>
      <c r="P94" s="58"/>
    </row>
    <row r="95" spans="2:16" ht="14.25" customHeight="1" x14ac:dyDescent="0.3">
      <c r="B95" s="57"/>
      <c r="C95" s="56"/>
      <c r="D95" s="2"/>
      <c r="F95" s="2"/>
      <c r="G95" s="2"/>
      <c r="H95" s="2"/>
      <c r="I95" s="2"/>
      <c r="P95" s="58"/>
    </row>
    <row r="96" spans="2:16" ht="14.25" customHeight="1" x14ac:dyDescent="0.3">
      <c r="B96" s="57"/>
      <c r="C96" s="56"/>
      <c r="D96" s="2"/>
      <c r="F96" s="2"/>
      <c r="G96" s="2"/>
      <c r="H96" s="2"/>
      <c r="I96" s="2"/>
      <c r="P96" s="58"/>
    </row>
    <row r="97" spans="2:16" ht="14.25" customHeight="1" x14ac:dyDescent="0.3">
      <c r="B97" s="57"/>
      <c r="C97" s="56"/>
      <c r="D97" s="2"/>
      <c r="F97" s="2"/>
      <c r="G97" s="2"/>
      <c r="H97" s="2"/>
      <c r="I97" s="2"/>
      <c r="P97" s="58"/>
    </row>
    <row r="98" spans="2:16" ht="14.25" customHeight="1" x14ac:dyDescent="0.3">
      <c r="B98" s="57"/>
      <c r="C98" s="56"/>
      <c r="D98" s="2"/>
      <c r="F98" s="2"/>
      <c r="G98" s="2"/>
      <c r="H98" s="2"/>
      <c r="I98" s="2"/>
      <c r="P98" s="58"/>
    </row>
    <row r="99" spans="2:16" ht="14.25" customHeight="1" x14ac:dyDescent="0.3">
      <c r="B99" s="57"/>
      <c r="C99" s="56"/>
      <c r="D99" s="2"/>
      <c r="F99" s="2"/>
      <c r="G99" s="2"/>
      <c r="H99" s="2"/>
      <c r="I99" s="2"/>
      <c r="P99" s="58"/>
    </row>
    <row r="100" spans="2:16" ht="14.25" customHeight="1" x14ac:dyDescent="0.3">
      <c r="B100" s="57"/>
      <c r="C100" s="56"/>
      <c r="D100" s="2"/>
      <c r="F100" s="2"/>
      <c r="G100" s="2"/>
      <c r="H100" s="2"/>
      <c r="I100" s="2"/>
      <c r="P100" s="58"/>
    </row>
    <row r="101" spans="2:16" ht="14.25" customHeight="1" x14ac:dyDescent="0.3">
      <c r="B101" s="57"/>
      <c r="C101" s="56"/>
      <c r="D101" s="2"/>
      <c r="F101" s="2"/>
      <c r="G101" s="2"/>
      <c r="H101" s="2"/>
      <c r="I101" s="2"/>
      <c r="P101" s="58"/>
    </row>
    <row r="102" spans="2:16" ht="14.25" customHeight="1" x14ac:dyDescent="0.3">
      <c r="B102" s="57"/>
      <c r="C102" s="56"/>
      <c r="D102" s="2"/>
      <c r="F102" s="2"/>
      <c r="G102" s="2"/>
      <c r="H102" s="2"/>
      <c r="I102" s="2"/>
      <c r="P102" s="58"/>
    </row>
    <row r="103" spans="2:16" ht="14.25" customHeight="1" x14ac:dyDescent="0.3">
      <c r="B103" s="57"/>
      <c r="C103" s="56"/>
      <c r="D103" s="2"/>
      <c r="F103" s="2"/>
      <c r="G103" s="2"/>
      <c r="H103" s="2"/>
      <c r="I103" s="2"/>
      <c r="P103" s="58"/>
    </row>
    <row r="104" spans="2:16" ht="14.25" customHeight="1" x14ac:dyDescent="0.3">
      <c r="B104" s="57"/>
      <c r="C104" s="56"/>
      <c r="D104" s="2"/>
      <c r="F104" s="2"/>
      <c r="G104" s="2"/>
      <c r="H104" s="2"/>
      <c r="I104" s="2"/>
      <c r="P104" s="58"/>
    </row>
    <row r="105" spans="2:16" ht="14.25" customHeight="1" x14ac:dyDescent="0.3">
      <c r="B105" s="57"/>
      <c r="C105" s="56"/>
      <c r="D105" s="2"/>
      <c r="F105" s="2"/>
      <c r="G105" s="2"/>
      <c r="H105" s="2"/>
      <c r="I105" s="2"/>
      <c r="P105" s="58"/>
    </row>
    <row r="106" spans="2:16" ht="14.25" customHeight="1" x14ac:dyDescent="0.3">
      <c r="B106" s="57"/>
      <c r="C106" s="56"/>
      <c r="D106" s="2"/>
      <c r="F106" s="2"/>
      <c r="G106" s="2"/>
      <c r="H106" s="2"/>
      <c r="I106" s="2"/>
      <c r="P106" s="58"/>
    </row>
    <row r="107" spans="2:16" ht="14.25" customHeight="1" x14ac:dyDescent="0.3">
      <c r="B107" s="57"/>
      <c r="C107" s="56"/>
      <c r="D107" s="2"/>
      <c r="F107" s="2"/>
      <c r="G107" s="2"/>
      <c r="H107" s="2"/>
      <c r="I107" s="2"/>
      <c r="P107" s="58"/>
    </row>
    <row r="108" spans="2:16" ht="14.25" customHeight="1" x14ac:dyDescent="0.3">
      <c r="B108" s="57"/>
      <c r="C108" s="56"/>
      <c r="D108" s="2"/>
      <c r="F108" s="2"/>
      <c r="G108" s="2"/>
      <c r="H108" s="2"/>
      <c r="I108" s="2"/>
      <c r="P108" s="58"/>
    </row>
    <row r="109" spans="2:16" ht="14.25" customHeight="1" x14ac:dyDescent="0.3">
      <c r="B109" s="57"/>
      <c r="C109" s="56"/>
      <c r="D109" s="2"/>
      <c r="F109" s="2"/>
      <c r="G109" s="2"/>
      <c r="H109" s="2"/>
      <c r="I109" s="2"/>
      <c r="P109" s="58"/>
    </row>
    <row r="110" spans="2:16" ht="14.25" customHeight="1" x14ac:dyDescent="0.3">
      <c r="B110" s="57"/>
      <c r="C110" s="56"/>
      <c r="D110" s="2"/>
      <c r="F110" s="2"/>
      <c r="G110" s="2"/>
      <c r="H110" s="2"/>
      <c r="I110" s="2"/>
      <c r="P110" s="58"/>
    </row>
    <row r="111" spans="2:16" ht="14.25" customHeight="1" x14ac:dyDescent="0.3">
      <c r="B111" s="57"/>
      <c r="C111" s="56"/>
      <c r="D111" s="2"/>
      <c r="F111" s="2"/>
      <c r="G111" s="2"/>
      <c r="H111" s="2"/>
      <c r="I111" s="2"/>
      <c r="P111" s="58"/>
    </row>
    <row r="112" spans="2:16" ht="14.25" customHeight="1" x14ac:dyDescent="0.3">
      <c r="B112" s="57"/>
      <c r="C112" s="56"/>
      <c r="D112" s="2"/>
      <c r="F112" s="2"/>
      <c r="G112" s="2"/>
      <c r="H112" s="2"/>
      <c r="I112" s="2"/>
      <c r="P112" s="58"/>
    </row>
    <row r="113" spans="2:16" ht="14.25" customHeight="1" x14ac:dyDescent="0.3">
      <c r="B113" s="57"/>
      <c r="C113" s="56"/>
      <c r="D113" s="2"/>
      <c r="F113" s="2"/>
      <c r="G113" s="2"/>
      <c r="H113" s="2"/>
      <c r="I113" s="2"/>
      <c r="P113" s="58"/>
    </row>
    <row r="114" spans="2:16" ht="14.25" customHeight="1" x14ac:dyDescent="0.3">
      <c r="B114" s="57"/>
      <c r="C114" s="56"/>
      <c r="D114" s="2"/>
      <c r="F114" s="2"/>
      <c r="G114" s="2"/>
      <c r="H114" s="2"/>
      <c r="I114" s="2"/>
      <c r="P114" s="58"/>
    </row>
    <row r="115" spans="2:16" ht="14.25" customHeight="1" x14ac:dyDescent="0.3">
      <c r="B115" s="57"/>
      <c r="C115" s="56"/>
      <c r="D115" s="2"/>
      <c r="F115" s="2"/>
      <c r="G115" s="2"/>
      <c r="H115" s="2"/>
      <c r="I115" s="2"/>
      <c r="P115" s="58"/>
    </row>
    <row r="116" spans="2:16" ht="14.25" customHeight="1" x14ac:dyDescent="0.3">
      <c r="B116" s="57"/>
      <c r="C116" s="56"/>
      <c r="D116" s="2"/>
      <c r="F116" s="2"/>
      <c r="G116" s="2"/>
      <c r="H116" s="2"/>
      <c r="I116" s="2"/>
      <c r="P116" s="58"/>
    </row>
    <row r="117" spans="2:16" ht="14.25" customHeight="1" x14ac:dyDescent="0.3">
      <c r="B117" s="57"/>
      <c r="C117" s="56"/>
      <c r="D117" s="2"/>
      <c r="F117" s="2"/>
      <c r="G117" s="2"/>
      <c r="H117" s="2"/>
      <c r="I117" s="2"/>
      <c r="P117" s="58"/>
    </row>
    <row r="118" spans="2:16" ht="14.25" customHeight="1" x14ac:dyDescent="0.3">
      <c r="B118" s="57"/>
      <c r="C118" s="56"/>
      <c r="D118" s="2"/>
      <c r="F118" s="2"/>
      <c r="G118" s="2"/>
      <c r="H118" s="2"/>
      <c r="I118" s="2"/>
      <c r="P118" s="58"/>
    </row>
    <row r="119" spans="2:16" ht="14.25" customHeight="1" x14ac:dyDescent="0.3">
      <c r="B119" s="57"/>
      <c r="C119" s="56"/>
      <c r="D119" s="2"/>
      <c r="F119" s="2"/>
      <c r="G119" s="2"/>
      <c r="H119" s="2"/>
      <c r="I119" s="2"/>
      <c r="P119" s="58"/>
    </row>
    <row r="120" spans="2:16" ht="14.25" customHeight="1" x14ac:dyDescent="0.3">
      <c r="B120" s="57"/>
      <c r="C120" s="56"/>
      <c r="D120" s="2"/>
      <c r="F120" s="2"/>
      <c r="G120" s="2"/>
      <c r="H120" s="2"/>
      <c r="I120" s="2"/>
      <c r="P120" s="58"/>
    </row>
    <row r="121" spans="2:16" ht="14.25" customHeight="1" x14ac:dyDescent="0.3">
      <c r="B121" s="57"/>
      <c r="C121" s="56"/>
      <c r="D121" s="2"/>
      <c r="F121" s="2"/>
      <c r="G121" s="2"/>
      <c r="H121" s="2"/>
      <c r="I121" s="2"/>
      <c r="P121" s="58"/>
    </row>
    <row r="122" spans="2:16" ht="14.25" customHeight="1" x14ac:dyDescent="0.3">
      <c r="B122" s="57"/>
      <c r="C122" s="56"/>
      <c r="D122" s="2"/>
      <c r="F122" s="2"/>
      <c r="G122" s="2"/>
      <c r="H122" s="2"/>
      <c r="I122" s="2"/>
      <c r="P122" s="58"/>
    </row>
    <row r="123" spans="2:16" ht="14.25" customHeight="1" x14ac:dyDescent="0.3">
      <c r="B123" s="57"/>
      <c r="C123" s="56"/>
      <c r="D123" s="2"/>
      <c r="F123" s="2"/>
      <c r="G123" s="2"/>
      <c r="H123" s="2"/>
      <c r="I123" s="2"/>
      <c r="P123" s="58"/>
    </row>
    <row r="124" spans="2:16" ht="14.25" customHeight="1" x14ac:dyDescent="0.3">
      <c r="B124" s="57"/>
      <c r="C124" s="56"/>
      <c r="D124" s="2"/>
      <c r="F124" s="2"/>
      <c r="G124" s="2"/>
      <c r="H124" s="2"/>
      <c r="I124" s="2"/>
      <c r="P124" s="58"/>
    </row>
    <row r="125" spans="2:16" ht="14.25" customHeight="1" x14ac:dyDescent="0.3">
      <c r="B125" s="57"/>
      <c r="C125" s="56"/>
      <c r="D125" s="2"/>
      <c r="F125" s="2"/>
      <c r="G125" s="2"/>
      <c r="H125" s="2"/>
      <c r="I125" s="2"/>
      <c r="P125" s="58"/>
    </row>
    <row r="126" spans="2:16" ht="14.25" customHeight="1" x14ac:dyDescent="0.3">
      <c r="B126" s="57"/>
      <c r="C126" s="56"/>
      <c r="D126" s="2"/>
      <c r="F126" s="2"/>
      <c r="G126" s="2"/>
      <c r="H126" s="2"/>
      <c r="I126" s="2"/>
      <c r="P126" s="58"/>
    </row>
    <row r="127" spans="2:16" ht="14.25" customHeight="1" x14ac:dyDescent="0.3">
      <c r="B127" s="57"/>
      <c r="C127" s="56"/>
      <c r="D127" s="2"/>
      <c r="F127" s="2"/>
      <c r="G127" s="2"/>
      <c r="H127" s="2"/>
      <c r="I127" s="2"/>
      <c r="P127" s="58"/>
    </row>
    <row r="128" spans="2:16" ht="14.25" customHeight="1" x14ac:dyDescent="0.3">
      <c r="B128" s="57"/>
      <c r="C128" s="56"/>
      <c r="D128" s="2"/>
      <c r="F128" s="2"/>
      <c r="G128" s="2"/>
      <c r="H128" s="2"/>
      <c r="I128" s="2"/>
      <c r="P128" s="58"/>
    </row>
    <row r="129" spans="2:16" ht="14.25" customHeight="1" x14ac:dyDescent="0.3">
      <c r="B129" s="57"/>
      <c r="C129" s="56"/>
      <c r="D129" s="2"/>
      <c r="F129" s="2"/>
      <c r="G129" s="2"/>
      <c r="H129" s="2"/>
      <c r="I129" s="2"/>
      <c r="P129" s="58"/>
    </row>
    <row r="130" spans="2:16" ht="14.25" customHeight="1" x14ac:dyDescent="0.3">
      <c r="B130" s="57"/>
      <c r="C130" s="56"/>
      <c r="D130" s="2"/>
      <c r="F130" s="2"/>
      <c r="G130" s="2"/>
      <c r="H130" s="2"/>
      <c r="I130" s="2"/>
      <c r="P130" s="58"/>
    </row>
    <row r="131" spans="2:16" ht="14.25" customHeight="1" x14ac:dyDescent="0.3">
      <c r="B131" s="57"/>
      <c r="C131" s="56"/>
      <c r="D131" s="2"/>
      <c r="F131" s="2"/>
      <c r="G131" s="2"/>
      <c r="H131" s="2"/>
      <c r="I131" s="2"/>
      <c r="P131" s="58"/>
    </row>
    <row r="132" spans="2:16" ht="14.25" customHeight="1" x14ac:dyDescent="0.3">
      <c r="B132" s="57"/>
      <c r="C132" s="56"/>
      <c r="D132" s="2"/>
      <c r="F132" s="2"/>
      <c r="G132" s="2"/>
      <c r="H132" s="2"/>
      <c r="I132" s="2"/>
      <c r="P132" s="58"/>
    </row>
    <row r="133" spans="2:16" ht="14.25" customHeight="1" x14ac:dyDescent="0.3">
      <c r="B133" s="57"/>
      <c r="C133" s="56"/>
      <c r="D133" s="2"/>
      <c r="F133" s="2"/>
      <c r="G133" s="2"/>
      <c r="H133" s="2"/>
      <c r="I133" s="2"/>
      <c r="P133" s="58"/>
    </row>
    <row r="134" spans="2:16" ht="14.25" customHeight="1" x14ac:dyDescent="0.3">
      <c r="B134" s="57"/>
      <c r="C134" s="56"/>
      <c r="D134" s="2"/>
      <c r="F134" s="2"/>
      <c r="G134" s="2"/>
      <c r="H134" s="2"/>
      <c r="I134" s="2"/>
      <c r="P134" s="58"/>
    </row>
    <row r="135" spans="2:16" ht="14.25" customHeight="1" x14ac:dyDescent="0.3">
      <c r="B135" s="57"/>
      <c r="C135" s="56"/>
      <c r="D135" s="2"/>
      <c r="F135" s="2"/>
      <c r="G135" s="2"/>
      <c r="H135" s="2"/>
      <c r="I135" s="2"/>
      <c r="P135" s="58"/>
    </row>
    <row r="136" spans="2:16" ht="14.25" customHeight="1" x14ac:dyDescent="0.3">
      <c r="B136" s="57"/>
      <c r="C136" s="56"/>
      <c r="D136" s="2"/>
      <c r="F136" s="2"/>
      <c r="G136" s="2"/>
      <c r="H136" s="2"/>
      <c r="I136" s="2"/>
      <c r="P136" s="58"/>
    </row>
    <row r="137" spans="2:16" ht="14.25" customHeight="1" x14ac:dyDescent="0.3">
      <c r="B137" s="57"/>
      <c r="C137" s="56"/>
      <c r="D137" s="2"/>
      <c r="F137" s="2"/>
      <c r="G137" s="2"/>
      <c r="H137" s="2"/>
      <c r="I137" s="2"/>
      <c r="P137" s="58"/>
    </row>
    <row r="138" spans="2:16" ht="14.25" customHeight="1" x14ac:dyDescent="0.3">
      <c r="B138" s="57"/>
      <c r="C138" s="56"/>
      <c r="D138" s="2"/>
      <c r="F138" s="2"/>
      <c r="G138" s="2"/>
      <c r="H138" s="2"/>
      <c r="I138" s="2"/>
      <c r="P138" s="58"/>
    </row>
    <row r="139" spans="2:16" ht="14.25" customHeight="1" x14ac:dyDescent="0.3">
      <c r="B139" s="57"/>
      <c r="C139" s="56"/>
      <c r="D139" s="2"/>
      <c r="F139" s="2"/>
      <c r="G139" s="2"/>
      <c r="H139" s="2"/>
      <c r="I139" s="2"/>
      <c r="P139" s="58"/>
    </row>
    <row r="140" spans="2:16" ht="14.25" customHeight="1" x14ac:dyDescent="0.3">
      <c r="B140" s="57"/>
      <c r="C140" s="56"/>
      <c r="D140" s="2"/>
      <c r="F140" s="2"/>
      <c r="G140" s="2"/>
      <c r="H140" s="2"/>
      <c r="I140" s="2"/>
      <c r="P140" s="58"/>
    </row>
    <row r="141" spans="2:16" ht="14.25" customHeight="1" x14ac:dyDescent="0.3">
      <c r="B141" s="57"/>
      <c r="C141" s="56"/>
      <c r="D141" s="2"/>
      <c r="F141" s="2"/>
      <c r="G141" s="2"/>
      <c r="H141" s="2"/>
      <c r="I141" s="2"/>
      <c r="P141" s="58"/>
    </row>
    <row r="142" spans="2:16" ht="14.25" customHeight="1" x14ac:dyDescent="0.3">
      <c r="B142" s="57"/>
      <c r="C142" s="56"/>
      <c r="D142" s="2"/>
      <c r="F142" s="2"/>
      <c r="G142" s="2"/>
      <c r="H142" s="2"/>
      <c r="I142" s="2"/>
      <c r="P142" s="58"/>
    </row>
    <row r="143" spans="2:16" ht="14.25" customHeight="1" x14ac:dyDescent="0.3">
      <c r="B143" s="57"/>
      <c r="C143" s="56"/>
      <c r="D143" s="2"/>
      <c r="F143" s="2"/>
      <c r="G143" s="2"/>
      <c r="H143" s="2"/>
      <c r="I143" s="2"/>
      <c r="P143" s="58"/>
    </row>
    <row r="144" spans="2:16" ht="14.25" customHeight="1" x14ac:dyDescent="0.3">
      <c r="B144" s="57"/>
      <c r="C144" s="56"/>
      <c r="D144" s="2"/>
      <c r="F144" s="2"/>
      <c r="G144" s="2"/>
      <c r="H144" s="2"/>
      <c r="I144" s="2"/>
      <c r="P144" s="58"/>
    </row>
    <row r="145" spans="2:16" ht="14.25" customHeight="1" x14ac:dyDescent="0.3">
      <c r="B145" s="57"/>
      <c r="C145" s="56"/>
      <c r="D145" s="2"/>
      <c r="F145" s="2"/>
      <c r="G145" s="2"/>
      <c r="H145" s="2"/>
      <c r="I145" s="2"/>
      <c r="P145" s="58"/>
    </row>
    <row r="146" spans="2:16" ht="14.25" customHeight="1" x14ac:dyDescent="0.3">
      <c r="B146" s="57"/>
      <c r="C146" s="56"/>
      <c r="D146" s="2"/>
      <c r="F146" s="2"/>
      <c r="G146" s="2"/>
      <c r="H146" s="2"/>
      <c r="I146" s="2"/>
      <c r="P146" s="58"/>
    </row>
    <row r="147" spans="2:16" ht="14.25" customHeight="1" x14ac:dyDescent="0.3">
      <c r="B147" s="57"/>
      <c r="C147" s="56"/>
      <c r="D147" s="2"/>
      <c r="F147" s="2"/>
      <c r="G147" s="2"/>
      <c r="H147" s="2"/>
      <c r="I147" s="2"/>
      <c r="P147" s="58"/>
    </row>
    <row r="148" spans="2:16" ht="14.25" customHeight="1" x14ac:dyDescent="0.3">
      <c r="B148" s="57"/>
      <c r="C148" s="56"/>
      <c r="D148" s="2"/>
      <c r="F148" s="2"/>
      <c r="G148" s="2"/>
      <c r="H148" s="2"/>
      <c r="I148" s="2"/>
      <c r="P148" s="58"/>
    </row>
    <row r="149" spans="2:16" ht="14.25" customHeight="1" x14ac:dyDescent="0.3">
      <c r="B149" s="57"/>
      <c r="C149" s="56"/>
      <c r="D149" s="2"/>
      <c r="F149" s="2"/>
      <c r="G149" s="2"/>
      <c r="H149" s="2"/>
      <c r="I149" s="2"/>
      <c r="P149" s="58"/>
    </row>
    <row r="150" spans="2:16" ht="14.25" customHeight="1" x14ac:dyDescent="0.3">
      <c r="B150" s="57"/>
      <c r="C150" s="56"/>
      <c r="D150" s="2"/>
      <c r="F150" s="2"/>
      <c r="G150" s="2"/>
      <c r="H150" s="2"/>
      <c r="I150" s="2"/>
      <c r="P150" s="58"/>
    </row>
    <row r="151" spans="2:16" ht="14.25" customHeight="1" x14ac:dyDescent="0.3">
      <c r="B151" s="57"/>
      <c r="C151" s="56"/>
      <c r="D151" s="2"/>
      <c r="F151" s="2"/>
      <c r="G151" s="2"/>
      <c r="H151" s="2"/>
      <c r="I151" s="2"/>
      <c r="P151" s="58"/>
    </row>
    <row r="152" spans="2:16" ht="14.25" customHeight="1" x14ac:dyDescent="0.3">
      <c r="B152" s="57"/>
      <c r="C152" s="56"/>
      <c r="D152" s="2"/>
      <c r="F152" s="2"/>
      <c r="G152" s="2"/>
      <c r="H152" s="2"/>
      <c r="I152" s="2"/>
      <c r="P152" s="58"/>
    </row>
    <row r="153" spans="2:16" ht="14.25" customHeight="1" x14ac:dyDescent="0.3">
      <c r="B153" s="57"/>
      <c r="C153" s="56"/>
      <c r="D153" s="2"/>
      <c r="F153" s="2"/>
      <c r="G153" s="2"/>
      <c r="H153" s="2"/>
      <c r="I153" s="2"/>
      <c r="P153" s="58"/>
    </row>
    <row r="154" spans="2:16" ht="14.25" customHeight="1" x14ac:dyDescent="0.3">
      <c r="B154" s="57"/>
      <c r="C154" s="56"/>
      <c r="D154" s="2"/>
      <c r="F154" s="2"/>
      <c r="G154" s="2"/>
      <c r="H154" s="2"/>
      <c r="I154" s="2"/>
      <c r="P154" s="58"/>
    </row>
    <row r="155" spans="2:16" ht="14.25" customHeight="1" x14ac:dyDescent="0.3">
      <c r="B155" s="57"/>
      <c r="C155" s="56"/>
      <c r="D155" s="2"/>
      <c r="F155" s="2"/>
      <c r="G155" s="2"/>
      <c r="H155" s="2"/>
      <c r="I155" s="2"/>
      <c r="P155" s="58"/>
    </row>
    <row r="156" spans="2:16" ht="14.25" customHeight="1" x14ac:dyDescent="0.3">
      <c r="B156" s="57"/>
      <c r="C156" s="56"/>
      <c r="D156" s="2"/>
      <c r="F156" s="2"/>
      <c r="G156" s="2"/>
      <c r="H156" s="2"/>
      <c r="I156" s="2"/>
      <c r="P156" s="58"/>
    </row>
    <row r="157" spans="2:16" ht="14.25" customHeight="1" x14ac:dyDescent="0.3">
      <c r="B157" s="57"/>
      <c r="C157" s="56"/>
      <c r="D157" s="2"/>
      <c r="F157" s="2"/>
      <c r="G157" s="2"/>
      <c r="H157" s="2"/>
      <c r="I157" s="2"/>
      <c r="P157" s="58"/>
    </row>
    <row r="158" spans="2:16" ht="14.25" customHeight="1" x14ac:dyDescent="0.3">
      <c r="B158" s="57"/>
      <c r="C158" s="56"/>
      <c r="D158" s="2"/>
      <c r="F158" s="2"/>
      <c r="G158" s="2"/>
      <c r="H158" s="2"/>
      <c r="I158" s="2"/>
      <c r="P158" s="58"/>
    </row>
    <row r="159" spans="2:16" ht="14.25" customHeight="1" x14ac:dyDescent="0.3">
      <c r="B159" s="57"/>
      <c r="C159" s="56"/>
      <c r="D159" s="2"/>
      <c r="F159" s="2"/>
      <c r="G159" s="2"/>
      <c r="H159" s="2"/>
      <c r="I159" s="2"/>
      <c r="P159" s="58"/>
    </row>
    <row r="160" spans="2:16" ht="14.25" customHeight="1" x14ac:dyDescent="0.3">
      <c r="B160" s="57"/>
      <c r="C160" s="56"/>
      <c r="D160" s="2"/>
      <c r="F160" s="2"/>
      <c r="G160" s="2"/>
      <c r="H160" s="2"/>
      <c r="I160" s="2"/>
      <c r="P160" s="58"/>
    </row>
    <row r="161" spans="2:16" ht="14.25" customHeight="1" x14ac:dyDescent="0.3">
      <c r="B161" s="57"/>
      <c r="C161" s="56"/>
      <c r="D161" s="2"/>
      <c r="F161" s="2"/>
      <c r="G161" s="2"/>
      <c r="H161" s="2"/>
      <c r="I161" s="2"/>
      <c r="P161" s="58"/>
    </row>
    <row r="162" spans="2:16" ht="14.25" customHeight="1" x14ac:dyDescent="0.3">
      <c r="B162" s="57"/>
      <c r="C162" s="56"/>
      <c r="D162" s="2"/>
      <c r="F162" s="2"/>
      <c r="G162" s="2"/>
      <c r="H162" s="2"/>
      <c r="I162" s="2"/>
      <c r="P162" s="58"/>
    </row>
    <row r="163" spans="2:16" ht="14.25" customHeight="1" x14ac:dyDescent="0.3">
      <c r="B163" s="57"/>
      <c r="C163" s="56"/>
      <c r="D163" s="2"/>
      <c r="F163" s="2"/>
      <c r="G163" s="2"/>
      <c r="H163" s="2"/>
      <c r="I163" s="2"/>
      <c r="P163" s="58"/>
    </row>
    <row r="164" spans="2:16" ht="14.25" customHeight="1" x14ac:dyDescent="0.3">
      <c r="B164" s="57"/>
      <c r="C164" s="56"/>
      <c r="D164" s="2"/>
      <c r="F164" s="2"/>
      <c r="G164" s="2"/>
      <c r="H164" s="2"/>
      <c r="I164" s="2"/>
      <c r="P164" s="58"/>
    </row>
    <row r="165" spans="2:16" ht="14.25" customHeight="1" x14ac:dyDescent="0.3">
      <c r="B165" s="57"/>
      <c r="C165" s="56"/>
      <c r="D165" s="2"/>
      <c r="F165" s="2"/>
      <c r="G165" s="2"/>
      <c r="H165" s="2"/>
      <c r="I165" s="2"/>
      <c r="P165" s="58"/>
    </row>
    <row r="166" spans="2:16" ht="14.25" customHeight="1" x14ac:dyDescent="0.3">
      <c r="B166" s="57"/>
      <c r="C166" s="56"/>
      <c r="D166" s="2"/>
      <c r="F166" s="2"/>
      <c r="G166" s="2"/>
      <c r="H166" s="2"/>
      <c r="I166" s="2"/>
      <c r="P166" s="58"/>
    </row>
    <row r="167" spans="2:16" ht="14.25" customHeight="1" x14ac:dyDescent="0.3">
      <c r="B167" s="57"/>
      <c r="C167" s="56"/>
      <c r="D167" s="2"/>
      <c r="F167" s="2"/>
      <c r="G167" s="2"/>
      <c r="H167" s="2"/>
      <c r="I167" s="2"/>
      <c r="P167" s="58"/>
    </row>
    <row r="168" spans="2:16" ht="14.25" customHeight="1" x14ac:dyDescent="0.3">
      <c r="B168" s="57"/>
      <c r="C168" s="56"/>
      <c r="D168" s="2"/>
      <c r="F168" s="2"/>
      <c r="G168" s="2"/>
      <c r="H168" s="2"/>
      <c r="I168" s="2"/>
      <c r="P168" s="58"/>
    </row>
    <row r="169" spans="2:16" ht="14.25" customHeight="1" x14ac:dyDescent="0.3">
      <c r="B169" s="57"/>
      <c r="C169" s="56"/>
      <c r="D169" s="2"/>
      <c r="F169" s="2"/>
      <c r="G169" s="2"/>
      <c r="H169" s="2"/>
      <c r="I169" s="2"/>
      <c r="P169" s="58"/>
    </row>
    <row r="170" spans="2:16" ht="14.25" customHeight="1" x14ac:dyDescent="0.3">
      <c r="B170" s="57"/>
      <c r="C170" s="56"/>
      <c r="D170" s="2"/>
      <c r="F170" s="2"/>
      <c r="G170" s="2"/>
      <c r="H170" s="2"/>
      <c r="I170" s="2"/>
      <c r="P170" s="58"/>
    </row>
    <row r="171" spans="2:16" ht="14.25" customHeight="1" x14ac:dyDescent="0.3">
      <c r="B171" s="57"/>
      <c r="C171" s="56"/>
      <c r="D171" s="2"/>
      <c r="F171" s="2"/>
      <c r="G171" s="2"/>
      <c r="H171" s="2"/>
      <c r="I171" s="2"/>
      <c r="P171" s="58"/>
    </row>
    <row r="172" spans="2:16" ht="14.25" customHeight="1" x14ac:dyDescent="0.3">
      <c r="B172" s="57"/>
      <c r="C172" s="56"/>
      <c r="D172" s="2"/>
      <c r="F172" s="2"/>
      <c r="G172" s="2"/>
      <c r="H172" s="2"/>
      <c r="I172" s="2"/>
      <c r="P172" s="58"/>
    </row>
    <row r="173" spans="2:16" ht="14.25" customHeight="1" x14ac:dyDescent="0.3">
      <c r="B173" s="57"/>
      <c r="C173" s="56"/>
      <c r="D173" s="2"/>
      <c r="F173" s="2"/>
      <c r="G173" s="2"/>
      <c r="H173" s="2"/>
      <c r="I173" s="2"/>
      <c r="P173" s="58"/>
    </row>
    <row r="174" spans="2:16" ht="14.25" customHeight="1" x14ac:dyDescent="0.3">
      <c r="B174" s="57"/>
      <c r="C174" s="56"/>
      <c r="D174" s="2"/>
      <c r="F174" s="2"/>
      <c r="G174" s="2"/>
      <c r="H174" s="2"/>
      <c r="I174" s="2"/>
      <c r="P174" s="58"/>
    </row>
    <row r="175" spans="2:16" ht="14.25" customHeight="1" x14ac:dyDescent="0.3">
      <c r="B175" s="57"/>
      <c r="C175" s="56"/>
      <c r="D175" s="2"/>
      <c r="F175" s="2"/>
      <c r="G175" s="2"/>
      <c r="H175" s="2"/>
      <c r="I175" s="2"/>
      <c r="P175" s="58"/>
    </row>
    <row r="176" spans="2:16" ht="14.25" customHeight="1" x14ac:dyDescent="0.3">
      <c r="B176" s="57"/>
      <c r="C176" s="56"/>
      <c r="D176" s="2"/>
      <c r="F176" s="2"/>
      <c r="G176" s="2"/>
      <c r="H176" s="2"/>
      <c r="I176" s="2"/>
      <c r="P176" s="58"/>
    </row>
    <row r="177" spans="2:16" ht="14.25" customHeight="1" x14ac:dyDescent="0.3">
      <c r="B177" s="57"/>
      <c r="C177" s="56"/>
      <c r="D177" s="2"/>
      <c r="F177" s="2"/>
      <c r="G177" s="2"/>
      <c r="H177" s="2"/>
      <c r="I177" s="2"/>
      <c r="P177" s="58"/>
    </row>
    <row r="178" spans="2:16" ht="14.25" customHeight="1" x14ac:dyDescent="0.3">
      <c r="B178" s="57"/>
      <c r="C178" s="56"/>
      <c r="D178" s="2"/>
      <c r="F178" s="2"/>
      <c r="G178" s="2"/>
      <c r="H178" s="2"/>
      <c r="I178" s="2"/>
      <c r="P178" s="58"/>
    </row>
    <row r="179" spans="2:16" ht="14.25" customHeight="1" x14ac:dyDescent="0.3">
      <c r="B179" s="57"/>
      <c r="C179" s="56"/>
      <c r="D179" s="2"/>
      <c r="F179" s="2"/>
      <c r="G179" s="2"/>
      <c r="H179" s="2"/>
      <c r="I179" s="2"/>
      <c r="P179" s="58"/>
    </row>
    <row r="180" spans="2:16" ht="14.25" customHeight="1" x14ac:dyDescent="0.3">
      <c r="B180" s="57"/>
      <c r="C180" s="56"/>
      <c r="D180" s="2"/>
      <c r="F180" s="2"/>
      <c r="G180" s="2"/>
      <c r="H180" s="2"/>
      <c r="I180" s="2"/>
      <c r="P180" s="58"/>
    </row>
    <row r="181" spans="2:16" ht="14.25" customHeight="1" x14ac:dyDescent="0.3">
      <c r="B181" s="57"/>
      <c r="C181" s="56"/>
      <c r="D181" s="2"/>
      <c r="F181" s="2"/>
      <c r="G181" s="2"/>
      <c r="H181" s="2"/>
      <c r="I181" s="2"/>
      <c r="P181" s="58"/>
    </row>
    <row r="182" spans="2:16" ht="14.25" customHeight="1" x14ac:dyDescent="0.3">
      <c r="B182" s="57"/>
      <c r="C182" s="56"/>
      <c r="D182" s="2"/>
      <c r="F182" s="2"/>
      <c r="G182" s="2"/>
      <c r="H182" s="2"/>
      <c r="I182" s="2"/>
      <c r="P182" s="58"/>
    </row>
    <row r="183" spans="2:16" ht="14.25" customHeight="1" x14ac:dyDescent="0.3">
      <c r="B183" s="57"/>
      <c r="C183" s="56"/>
      <c r="D183" s="2"/>
      <c r="F183" s="2"/>
      <c r="G183" s="2"/>
      <c r="H183" s="2"/>
      <c r="I183" s="2"/>
      <c r="P183" s="58"/>
    </row>
    <row r="184" spans="2:16" ht="14.25" customHeight="1" x14ac:dyDescent="0.3">
      <c r="B184" s="57"/>
      <c r="C184" s="56"/>
      <c r="D184" s="2"/>
      <c r="F184" s="2"/>
      <c r="G184" s="2"/>
      <c r="H184" s="2"/>
      <c r="I184" s="2"/>
      <c r="P184" s="58"/>
    </row>
    <row r="185" spans="2:16" ht="14.25" customHeight="1" x14ac:dyDescent="0.3">
      <c r="B185" s="57"/>
      <c r="C185" s="56"/>
      <c r="D185" s="2"/>
      <c r="F185" s="2"/>
      <c r="G185" s="2"/>
      <c r="H185" s="2"/>
      <c r="I185" s="2"/>
      <c r="P185" s="58"/>
    </row>
    <row r="186" spans="2:16" ht="14.25" customHeight="1" x14ac:dyDescent="0.3">
      <c r="B186" s="57"/>
      <c r="C186" s="56"/>
      <c r="D186" s="2"/>
      <c r="F186" s="2"/>
      <c r="G186" s="2"/>
      <c r="H186" s="2"/>
      <c r="I186" s="2"/>
      <c r="P186" s="58"/>
    </row>
    <row r="187" spans="2:16" ht="14.25" customHeight="1" x14ac:dyDescent="0.3">
      <c r="B187" s="57"/>
      <c r="C187" s="56"/>
      <c r="D187" s="2"/>
      <c r="F187" s="2"/>
      <c r="G187" s="2"/>
      <c r="H187" s="2"/>
      <c r="I187" s="2"/>
      <c r="P187" s="58"/>
    </row>
    <row r="188" spans="2:16" ht="14.25" customHeight="1" x14ac:dyDescent="0.3">
      <c r="B188" s="57"/>
      <c r="C188" s="56"/>
      <c r="D188" s="2"/>
      <c r="F188" s="2"/>
      <c r="G188" s="2"/>
      <c r="H188" s="2"/>
      <c r="I188" s="2"/>
      <c r="P188" s="58"/>
    </row>
    <row r="189" spans="2:16" ht="14.25" customHeight="1" x14ac:dyDescent="0.3">
      <c r="B189" s="57"/>
      <c r="C189" s="56"/>
      <c r="D189" s="2"/>
      <c r="F189" s="2"/>
      <c r="G189" s="2"/>
      <c r="H189" s="2"/>
      <c r="I189" s="2"/>
      <c r="P189" s="58"/>
    </row>
    <row r="190" spans="2:16" ht="14.25" customHeight="1" x14ac:dyDescent="0.3">
      <c r="B190" s="57"/>
      <c r="C190" s="56"/>
      <c r="D190" s="2"/>
      <c r="F190" s="2"/>
      <c r="G190" s="2"/>
      <c r="H190" s="2"/>
      <c r="I190" s="2"/>
      <c r="P190" s="58"/>
    </row>
    <row r="191" spans="2:16" ht="14.25" customHeight="1" x14ac:dyDescent="0.3">
      <c r="B191" s="57"/>
      <c r="C191" s="56"/>
      <c r="D191" s="2"/>
      <c r="F191" s="2"/>
      <c r="G191" s="2"/>
      <c r="H191" s="2"/>
      <c r="I191" s="2"/>
      <c r="P191" s="58"/>
    </row>
    <row r="192" spans="2:16" ht="14.25" customHeight="1" x14ac:dyDescent="0.3">
      <c r="B192" s="57"/>
      <c r="C192" s="56"/>
      <c r="D192" s="2"/>
      <c r="F192" s="2"/>
      <c r="G192" s="2"/>
      <c r="H192" s="2"/>
      <c r="I192" s="2"/>
      <c r="P192" s="58"/>
    </row>
    <row r="193" spans="2:16" ht="14.25" customHeight="1" x14ac:dyDescent="0.3">
      <c r="B193" s="57"/>
      <c r="C193" s="56"/>
      <c r="D193" s="2"/>
      <c r="F193" s="2"/>
      <c r="G193" s="2"/>
      <c r="H193" s="2"/>
      <c r="I193" s="2"/>
      <c r="P193" s="58"/>
    </row>
    <row r="194" spans="2:16" ht="14.25" customHeight="1" x14ac:dyDescent="0.3">
      <c r="B194" s="57"/>
      <c r="C194" s="56"/>
      <c r="D194" s="2"/>
      <c r="F194" s="2"/>
      <c r="G194" s="2"/>
      <c r="H194" s="2"/>
      <c r="I194" s="2"/>
      <c r="P194" s="58"/>
    </row>
    <row r="195" spans="2:16" ht="14.25" customHeight="1" x14ac:dyDescent="0.3">
      <c r="B195" s="57"/>
      <c r="C195" s="56"/>
      <c r="D195" s="2"/>
      <c r="F195" s="2"/>
      <c r="G195" s="2"/>
      <c r="H195" s="2"/>
      <c r="I195" s="2"/>
      <c r="P195" s="58"/>
    </row>
    <row r="196" spans="2:16" ht="14.25" customHeight="1" x14ac:dyDescent="0.3">
      <c r="B196" s="57"/>
      <c r="C196" s="56"/>
      <c r="D196" s="2"/>
      <c r="F196" s="2"/>
      <c r="G196" s="2"/>
      <c r="H196" s="2"/>
      <c r="I196" s="2"/>
      <c r="P196" s="58"/>
    </row>
    <row r="197" spans="2:16" ht="14.25" customHeight="1" x14ac:dyDescent="0.3">
      <c r="B197" s="57"/>
      <c r="C197" s="56"/>
      <c r="D197" s="2"/>
      <c r="F197" s="2"/>
      <c r="G197" s="2"/>
      <c r="H197" s="2"/>
      <c r="I197" s="2"/>
      <c r="P197" s="58"/>
    </row>
    <row r="198" spans="2:16" ht="14.25" customHeight="1" x14ac:dyDescent="0.3">
      <c r="B198" s="57"/>
      <c r="C198" s="56"/>
      <c r="D198" s="2"/>
      <c r="F198" s="2"/>
      <c r="G198" s="2"/>
      <c r="H198" s="2"/>
      <c r="I198" s="2"/>
      <c r="P198" s="58"/>
    </row>
    <row r="199" spans="2:16" ht="14.25" customHeight="1" x14ac:dyDescent="0.3">
      <c r="B199" s="57"/>
      <c r="C199" s="56"/>
      <c r="D199" s="2"/>
      <c r="F199" s="2"/>
      <c r="G199" s="2"/>
      <c r="H199" s="2"/>
      <c r="I199" s="2"/>
      <c r="P199" s="58"/>
    </row>
    <row r="200" spans="2:16" ht="14.25" customHeight="1" x14ac:dyDescent="0.3">
      <c r="B200" s="57"/>
      <c r="C200" s="56"/>
      <c r="D200" s="2"/>
      <c r="F200" s="2"/>
      <c r="G200" s="2"/>
      <c r="H200" s="2"/>
      <c r="I200" s="2"/>
      <c r="P200" s="58"/>
    </row>
    <row r="201" spans="2:16" ht="14.25" customHeight="1" x14ac:dyDescent="0.3">
      <c r="B201" s="57"/>
      <c r="C201" s="56"/>
      <c r="D201" s="2"/>
      <c r="F201" s="2"/>
      <c r="G201" s="2"/>
      <c r="H201" s="2"/>
      <c r="I201" s="2"/>
      <c r="P201" s="58"/>
    </row>
    <row r="202" spans="2:16" ht="14.25" customHeight="1" x14ac:dyDescent="0.3">
      <c r="B202" s="57"/>
      <c r="C202" s="56"/>
      <c r="D202" s="2"/>
      <c r="F202" s="2"/>
      <c r="G202" s="2"/>
      <c r="H202" s="2"/>
      <c r="I202" s="2"/>
      <c r="P202" s="58"/>
    </row>
    <row r="203" spans="2:16" ht="14.25" customHeight="1" x14ac:dyDescent="0.3">
      <c r="B203" s="57"/>
      <c r="C203" s="56"/>
      <c r="D203" s="2"/>
      <c r="F203" s="2"/>
      <c r="G203" s="2"/>
      <c r="H203" s="2"/>
      <c r="I203" s="2"/>
      <c r="P203" s="58"/>
    </row>
    <row r="204" spans="2:16" ht="14.25" customHeight="1" x14ac:dyDescent="0.3">
      <c r="B204" s="57"/>
      <c r="C204" s="56"/>
      <c r="D204" s="2"/>
      <c r="F204" s="2"/>
      <c r="G204" s="2"/>
      <c r="H204" s="2"/>
      <c r="I204" s="2"/>
      <c r="P204" s="58"/>
    </row>
    <row r="205" spans="2:16" ht="14.25" customHeight="1" x14ac:dyDescent="0.3">
      <c r="B205" s="57"/>
      <c r="C205" s="56"/>
      <c r="D205" s="2"/>
      <c r="F205" s="2"/>
      <c r="G205" s="2"/>
      <c r="H205" s="2"/>
      <c r="I205" s="2"/>
      <c r="P205" s="58"/>
    </row>
    <row r="206" spans="2:16" ht="14.25" customHeight="1" x14ac:dyDescent="0.3">
      <c r="B206" s="57"/>
      <c r="C206" s="56"/>
      <c r="D206" s="2"/>
      <c r="F206" s="2"/>
      <c r="G206" s="2"/>
      <c r="H206" s="2"/>
      <c r="I206" s="2"/>
      <c r="P206" s="58"/>
    </row>
    <row r="207" spans="2:16" ht="14.25" customHeight="1" x14ac:dyDescent="0.3">
      <c r="B207" s="57"/>
      <c r="C207" s="56"/>
      <c r="D207" s="2"/>
      <c r="F207" s="2"/>
      <c r="G207" s="2"/>
      <c r="H207" s="2"/>
      <c r="I207" s="2"/>
      <c r="P207" s="58"/>
    </row>
    <row r="208" spans="2:16" ht="14.25" customHeight="1" x14ac:dyDescent="0.3">
      <c r="B208" s="57"/>
      <c r="C208" s="56"/>
      <c r="D208" s="2"/>
      <c r="F208" s="2"/>
      <c r="G208" s="2"/>
      <c r="H208" s="2"/>
      <c r="I208" s="2"/>
      <c r="P208" s="58"/>
    </row>
    <row r="209" spans="2:16" ht="14.25" customHeight="1" x14ac:dyDescent="0.3">
      <c r="B209" s="57"/>
      <c r="C209" s="56"/>
      <c r="D209" s="2"/>
      <c r="F209" s="2"/>
      <c r="G209" s="2"/>
      <c r="H209" s="2"/>
      <c r="I209" s="2"/>
      <c r="P209" s="58"/>
    </row>
    <row r="210" spans="2:16" ht="14.25" customHeight="1" x14ac:dyDescent="0.3">
      <c r="B210" s="57"/>
      <c r="C210" s="56"/>
      <c r="D210" s="2"/>
      <c r="F210" s="2"/>
      <c r="G210" s="2"/>
      <c r="H210" s="2"/>
      <c r="I210" s="2"/>
      <c r="P210" s="58"/>
    </row>
    <row r="211" spans="2:16" ht="14.25" customHeight="1" x14ac:dyDescent="0.3">
      <c r="B211" s="57"/>
      <c r="C211" s="56"/>
      <c r="D211" s="2"/>
      <c r="F211" s="2"/>
      <c r="G211" s="2"/>
      <c r="H211" s="2"/>
      <c r="I211" s="2"/>
      <c r="P211" s="58"/>
    </row>
    <row r="212" spans="2:16" ht="14.25" customHeight="1" x14ac:dyDescent="0.3">
      <c r="B212" s="57"/>
      <c r="C212" s="56"/>
      <c r="D212" s="2"/>
      <c r="F212" s="2"/>
      <c r="G212" s="2"/>
      <c r="H212" s="2"/>
      <c r="I212" s="2"/>
      <c r="P212" s="58"/>
    </row>
    <row r="213" spans="2:16" ht="14.25" customHeight="1" x14ac:dyDescent="0.3">
      <c r="B213" s="57"/>
      <c r="C213" s="56"/>
      <c r="D213" s="2"/>
      <c r="F213" s="2"/>
      <c r="G213" s="2"/>
      <c r="H213" s="2"/>
      <c r="I213" s="2"/>
      <c r="P213" s="58"/>
    </row>
    <row r="214" spans="2:16" ht="14.25" customHeight="1" x14ac:dyDescent="0.3">
      <c r="B214" s="57"/>
      <c r="C214" s="56"/>
      <c r="D214" s="2"/>
      <c r="F214" s="2"/>
      <c r="G214" s="2"/>
      <c r="H214" s="2"/>
      <c r="I214" s="2"/>
      <c r="P214" s="58"/>
    </row>
    <row r="215" spans="2:16" ht="14.25" customHeight="1" x14ac:dyDescent="0.3">
      <c r="B215" s="57"/>
      <c r="C215" s="56"/>
      <c r="D215" s="2"/>
      <c r="F215" s="2"/>
      <c r="G215" s="2"/>
      <c r="H215" s="2"/>
      <c r="I215" s="2"/>
      <c r="P215" s="58"/>
    </row>
    <row r="216" spans="2:16" ht="14.25" customHeight="1" x14ac:dyDescent="0.3">
      <c r="B216" s="57"/>
      <c r="C216" s="56"/>
      <c r="D216" s="2"/>
      <c r="F216" s="2"/>
      <c r="G216" s="2"/>
      <c r="H216" s="2"/>
      <c r="I216" s="2"/>
      <c r="P216" s="58"/>
    </row>
    <row r="217" spans="2:16" ht="14.25" customHeight="1" x14ac:dyDescent="0.3">
      <c r="B217" s="57"/>
      <c r="C217" s="56"/>
      <c r="D217" s="2"/>
      <c r="F217" s="2"/>
      <c r="G217" s="2"/>
      <c r="H217" s="2"/>
      <c r="I217" s="2"/>
      <c r="P217" s="58"/>
    </row>
    <row r="218" spans="2:16" ht="14.25" customHeight="1" x14ac:dyDescent="0.3">
      <c r="B218" s="57"/>
      <c r="C218" s="56"/>
      <c r="D218" s="2"/>
      <c r="F218" s="2"/>
      <c r="G218" s="2"/>
      <c r="H218" s="2"/>
      <c r="I218" s="2"/>
      <c r="P218" s="58"/>
    </row>
    <row r="219" spans="2:16" ht="14.25" customHeight="1" x14ac:dyDescent="0.3">
      <c r="B219" s="57"/>
      <c r="C219" s="56"/>
      <c r="D219" s="2"/>
      <c r="F219" s="2"/>
      <c r="G219" s="2"/>
      <c r="H219" s="2"/>
      <c r="I219" s="2"/>
      <c r="P219" s="58"/>
    </row>
    <row r="220" spans="2:16" ht="14.25" customHeight="1" x14ac:dyDescent="0.3">
      <c r="B220" s="57"/>
      <c r="C220" s="56"/>
      <c r="D220" s="2"/>
      <c r="F220" s="2"/>
      <c r="G220" s="2"/>
      <c r="H220" s="2"/>
      <c r="I220" s="2"/>
      <c r="P220" s="58"/>
    </row>
    <row r="221" spans="2:16" ht="14.25" customHeight="1" x14ac:dyDescent="0.3">
      <c r="B221" s="57"/>
      <c r="C221" s="56"/>
      <c r="D221" s="2"/>
      <c r="F221" s="2"/>
      <c r="G221" s="2"/>
      <c r="H221" s="2"/>
      <c r="I221" s="2"/>
      <c r="P221" s="58"/>
    </row>
    <row r="222" spans="2:16" ht="14.25" customHeight="1" x14ac:dyDescent="0.3">
      <c r="B222" s="57"/>
      <c r="C222" s="56"/>
      <c r="D222" s="2"/>
      <c r="F222" s="2"/>
      <c r="G222" s="2"/>
      <c r="H222" s="2"/>
      <c r="I222" s="2"/>
      <c r="P222" s="58"/>
    </row>
    <row r="223" spans="2:16" ht="14.25" customHeight="1" x14ac:dyDescent="0.3">
      <c r="B223" s="57"/>
      <c r="C223" s="56"/>
      <c r="D223" s="2"/>
      <c r="F223" s="2"/>
      <c r="G223" s="2"/>
      <c r="H223" s="2"/>
      <c r="I223" s="2"/>
      <c r="P223" s="58"/>
    </row>
    <row r="224" spans="2:16" ht="14.25" customHeight="1" x14ac:dyDescent="0.3">
      <c r="B224" s="57"/>
      <c r="C224" s="56"/>
      <c r="D224" s="2"/>
      <c r="F224" s="2"/>
      <c r="G224" s="2"/>
      <c r="H224" s="2"/>
      <c r="I224" s="2"/>
      <c r="P224" s="58"/>
    </row>
    <row r="225" spans="2:16" ht="14.25" customHeight="1" x14ac:dyDescent="0.3">
      <c r="B225" s="57"/>
      <c r="C225" s="56"/>
      <c r="D225" s="2"/>
      <c r="F225" s="2"/>
      <c r="G225" s="2"/>
      <c r="H225" s="2"/>
      <c r="I225" s="2"/>
      <c r="P225" s="58"/>
    </row>
    <row r="226" spans="2:16" ht="14.25" customHeight="1" x14ac:dyDescent="0.3">
      <c r="B226" s="57"/>
      <c r="C226" s="56"/>
      <c r="D226" s="2"/>
      <c r="F226" s="2"/>
      <c r="G226" s="2"/>
      <c r="H226" s="2"/>
      <c r="I226" s="2"/>
      <c r="P226" s="58"/>
    </row>
    <row r="227" spans="2:16" ht="14.25" customHeight="1" x14ac:dyDescent="0.3">
      <c r="B227" s="57"/>
      <c r="C227" s="56"/>
      <c r="D227" s="2"/>
      <c r="F227" s="2"/>
      <c r="G227" s="2"/>
      <c r="H227" s="2"/>
      <c r="I227" s="2"/>
      <c r="P227" s="58"/>
    </row>
    <row r="228" spans="2:16" ht="14.25" customHeight="1" x14ac:dyDescent="0.3">
      <c r="B228" s="57"/>
      <c r="C228" s="56"/>
      <c r="D228" s="2"/>
      <c r="F228" s="2"/>
      <c r="G228" s="2"/>
      <c r="H228" s="2"/>
      <c r="I228" s="2"/>
      <c r="P228" s="58"/>
    </row>
    <row r="229" spans="2:16" ht="14.25" customHeight="1" x14ac:dyDescent="0.3">
      <c r="B229" s="57"/>
      <c r="C229" s="56"/>
      <c r="D229" s="2"/>
      <c r="F229" s="2"/>
      <c r="G229" s="2"/>
      <c r="H229" s="2"/>
      <c r="I229" s="2"/>
      <c r="P229" s="58"/>
    </row>
    <row r="230" spans="2:16" ht="14.25" customHeight="1" x14ac:dyDescent="0.3">
      <c r="B230" s="57"/>
      <c r="C230" s="56"/>
      <c r="D230" s="2"/>
      <c r="F230" s="2"/>
      <c r="G230" s="2"/>
      <c r="H230" s="2"/>
      <c r="I230" s="2"/>
      <c r="P230" s="58"/>
    </row>
    <row r="231" spans="2:16" ht="14.25" customHeight="1" x14ac:dyDescent="0.3">
      <c r="B231" s="57"/>
      <c r="C231" s="56"/>
      <c r="D231" s="2"/>
      <c r="F231" s="2"/>
      <c r="G231" s="2"/>
      <c r="H231" s="2"/>
      <c r="I231" s="2"/>
      <c r="P231" s="58"/>
    </row>
    <row r="232" spans="2:16" ht="14.25" customHeight="1" x14ac:dyDescent="0.3">
      <c r="B232" s="57"/>
      <c r="C232" s="56"/>
      <c r="D232" s="2"/>
      <c r="F232" s="2"/>
      <c r="G232" s="2"/>
      <c r="H232" s="2"/>
      <c r="I232" s="2"/>
      <c r="P232" s="58"/>
    </row>
    <row r="233" spans="2:16" ht="14.25" customHeight="1" x14ac:dyDescent="0.3">
      <c r="B233" s="57"/>
      <c r="C233" s="56"/>
      <c r="D233" s="2"/>
      <c r="F233" s="2"/>
      <c r="G233" s="2"/>
      <c r="H233" s="2"/>
      <c r="I233" s="2"/>
      <c r="P233" s="58"/>
    </row>
    <row r="234" spans="2:16" ht="14.25" customHeight="1" x14ac:dyDescent="0.3">
      <c r="B234" s="57"/>
      <c r="C234" s="56"/>
      <c r="D234" s="2"/>
      <c r="F234" s="2"/>
      <c r="G234" s="2"/>
      <c r="H234" s="2"/>
      <c r="I234" s="2"/>
      <c r="P234" s="58"/>
    </row>
    <row r="235" spans="2:16" ht="14.25" customHeight="1" x14ac:dyDescent="0.3">
      <c r="B235" s="57"/>
      <c r="C235" s="56"/>
      <c r="D235" s="2"/>
      <c r="F235" s="2"/>
      <c r="G235" s="2"/>
      <c r="H235" s="2"/>
      <c r="I235" s="2"/>
      <c r="P235" s="58"/>
    </row>
    <row r="236" spans="2:16" ht="14.25" customHeight="1" x14ac:dyDescent="0.3">
      <c r="B236" s="57"/>
      <c r="C236" s="56"/>
      <c r="D236" s="2"/>
      <c r="F236" s="2"/>
      <c r="G236" s="2"/>
      <c r="H236" s="2"/>
      <c r="I236" s="2"/>
      <c r="P236" s="58"/>
    </row>
    <row r="237" spans="2:16" ht="14.25" customHeight="1" x14ac:dyDescent="0.3">
      <c r="B237" s="57"/>
      <c r="C237" s="56"/>
      <c r="D237" s="2"/>
      <c r="F237" s="2"/>
      <c r="G237" s="2"/>
      <c r="H237" s="2"/>
      <c r="I237" s="2"/>
      <c r="P237" s="58"/>
    </row>
    <row r="238" spans="2:16" ht="14.25" customHeight="1" x14ac:dyDescent="0.3">
      <c r="B238" s="57"/>
      <c r="C238" s="56"/>
      <c r="D238" s="2"/>
      <c r="F238" s="2"/>
      <c r="G238" s="2"/>
      <c r="H238" s="2"/>
      <c r="I238" s="2"/>
      <c r="P238" s="58"/>
    </row>
    <row r="239" spans="2:16" ht="14.25" customHeight="1" x14ac:dyDescent="0.3">
      <c r="B239" s="57"/>
      <c r="C239" s="56"/>
      <c r="D239" s="2"/>
      <c r="F239" s="2"/>
      <c r="G239" s="2"/>
      <c r="H239" s="2"/>
      <c r="I239" s="2"/>
      <c r="P239" s="58"/>
    </row>
    <row r="240" spans="2:16" ht="14.25" customHeight="1" x14ac:dyDescent="0.3">
      <c r="B240" s="57"/>
      <c r="C240" s="56"/>
      <c r="D240" s="2"/>
      <c r="F240" s="2"/>
      <c r="G240" s="2"/>
      <c r="H240" s="2"/>
      <c r="I240" s="2"/>
      <c r="P240" s="58"/>
    </row>
    <row r="241" spans="2:16" ht="14.25" customHeight="1" x14ac:dyDescent="0.3">
      <c r="B241" s="57"/>
      <c r="C241" s="56"/>
      <c r="D241" s="2"/>
      <c r="F241" s="2"/>
      <c r="G241" s="2"/>
      <c r="H241" s="2"/>
      <c r="I241" s="2"/>
      <c r="P241" s="58"/>
    </row>
    <row r="242" spans="2:16" ht="14.25" customHeight="1" x14ac:dyDescent="0.3">
      <c r="B242" s="57"/>
      <c r="C242" s="56"/>
      <c r="D242" s="2"/>
      <c r="F242" s="2"/>
      <c r="G242" s="2"/>
      <c r="H242" s="2"/>
      <c r="I242" s="2"/>
      <c r="P242" s="58"/>
    </row>
    <row r="243" spans="2:16" ht="14.25" customHeight="1" x14ac:dyDescent="0.3">
      <c r="B243" s="57"/>
      <c r="C243" s="56"/>
      <c r="D243" s="2"/>
      <c r="F243" s="2"/>
      <c r="G243" s="2"/>
      <c r="H243" s="2"/>
      <c r="I243" s="2"/>
      <c r="P243" s="58"/>
    </row>
    <row r="244" spans="2:16" ht="14.25" customHeight="1" x14ac:dyDescent="0.3">
      <c r="B244" s="57"/>
      <c r="C244" s="56"/>
      <c r="D244" s="2"/>
      <c r="F244" s="2"/>
      <c r="G244" s="2"/>
      <c r="H244" s="2"/>
      <c r="I244" s="2"/>
      <c r="P244" s="58"/>
    </row>
    <row r="245" spans="2:16" ht="14.25" customHeight="1" x14ac:dyDescent="0.3">
      <c r="B245" s="57"/>
      <c r="C245" s="56"/>
      <c r="D245" s="2"/>
      <c r="F245" s="2"/>
      <c r="G245" s="2"/>
      <c r="H245" s="2"/>
      <c r="I245" s="2"/>
      <c r="P245" s="58"/>
    </row>
    <row r="246" spans="2:16" ht="14.25" customHeight="1" x14ac:dyDescent="0.3">
      <c r="B246" s="57"/>
      <c r="C246" s="56"/>
      <c r="D246" s="2"/>
      <c r="F246" s="2"/>
      <c r="G246" s="2"/>
      <c r="H246" s="2"/>
      <c r="I246" s="2"/>
      <c r="P246" s="58"/>
    </row>
    <row r="247" spans="2:16" ht="14.25" customHeight="1" x14ac:dyDescent="0.3">
      <c r="B247" s="57"/>
      <c r="C247" s="56"/>
      <c r="D247" s="2"/>
      <c r="F247" s="2"/>
      <c r="G247" s="2"/>
      <c r="H247" s="2"/>
      <c r="I247" s="2"/>
      <c r="P247" s="58"/>
    </row>
    <row r="248" spans="2:16" ht="14.25" customHeight="1" x14ac:dyDescent="0.3">
      <c r="B248" s="57"/>
      <c r="C248" s="56"/>
      <c r="D248" s="2"/>
      <c r="F248" s="2"/>
      <c r="G248" s="2"/>
      <c r="H248" s="2"/>
      <c r="I248" s="2"/>
      <c r="P248" s="58"/>
    </row>
    <row r="249" spans="2:16" ht="14.25" customHeight="1" x14ac:dyDescent="0.3">
      <c r="B249" s="57"/>
      <c r="C249" s="56"/>
      <c r="D249" s="2"/>
      <c r="F249" s="2"/>
      <c r="G249" s="2"/>
      <c r="H249" s="2"/>
      <c r="I249" s="2"/>
      <c r="P249" s="58"/>
    </row>
    <row r="250" spans="2:16" ht="14.25" customHeight="1" x14ac:dyDescent="0.3">
      <c r="B250" s="57"/>
      <c r="C250" s="56"/>
      <c r="D250" s="2"/>
      <c r="F250" s="2"/>
      <c r="G250" s="2"/>
      <c r="H250" s="2"/>
      <c r="I250" s="2"/>
      <c r="P250" s="58"/>
    </row>
    <row r="251" spans="2:16" ht="14.25" customHeight="1" x14ac:dyDescent="0.3">
      <c r="B251" s="57"/>
      <c r="C251" s="56"/>
      <c r="D251" s="2"/>
      <c r="F251" s="2"/>
      <c r="G251" s="2"/>
      <c r="H251" s="2"/>
      <c r="I251" s="2"/>
      <c r="P251" s="58"/>
    </row>
    <row r="252" spans="2:16" ht="14.25" customHeight="1" x14ac:dyDescent="0.3">
      <c r="B252" s="57"/>
      <c r="C252" s="56"/>
      <c r="D252" s="2"/>
      <c r="F252" s="2"/>
      <c r="G252" s="2"/>
      <c r="H252" s="2"/>
      <c r="I252" s="2"/>
      <c r="P252" s="58"/>
    </row>
    <row r="253" spans="2:16" ht="14.25" customHeight="1" x14ac:dyDescent="0.3">
      <c r="B253" s="57"/>
      <c r="C253" s="56"/>
      <c r="D253" s="2"/>
      <c r="F253" s="2"/>
      <c r="G253" s="2"/>
      <c r="H253" s="2"/>
      <c r="I253" s="2"/>
      <c r="P253" s="58"/>
    </row>
    <row r="254" spans="2:16" ht="14.25" customHeight="1" x14ac:dyDescent="0.3">
      <c r="B254" s="57"/>
      <c r="C254" s="56"/>
      <c r="D254" s="2"/>
      <c r="F254" s="2"/>
      <c r="G254" s="2"/>
      <c r="H254" s="2"/>
      <c r="I254" s="2"/>
      <c r="P254" s="58"/>
    </row>
    <row r="255" spans="2:16" ht="14.25" customHeight="1" x14ac:dyDescent="0.3">
      <c r="B255" s="57"/>
      <c r="C255" s="56"/>
      <c r="D255" s="2"/>
      <c r="F255" s="2"/>
      <c r="G255" s="2"/>
      <c r="H255" s="2"/>
      <c r="I255" s="2"/>
      <c r="P255" s="58"/>
    </row>
    <row r="256" spans="2:16" ht="14.25" customHeight="1" x14ac:dyDescent="0.3">
      <c r="B256" s="57"/>
      <c r="C256" s="56"/>
      <c r="D256" s="2"/>
      <c r="F256" s="2"/>
      <c r="G256" s="2"/>
      <c r="H256" s="2"/>
      <c r="I256" s="2"/>
      <c r="P256" s="58"/>
    </row>
    <row r="257" spans="2:16" ht="14.25" customHeight="1" x14ac:dyDescent="0.3">
      <c r="B257" s="57"/>
      <c r="C257" s="56"/>
      <c r="D257" s="2"/>
      <c r="F257" s="2"/>
      <c r="G257" s="2"/>
      <c r="H257" s="2"/>
      <c r="I257" s="2"/>
      <c r="P257" s="58"/>
    </row>
    <row r="258" spans="2:16" ht="14.25" customHeight="1" x14ac:dyDescent="0.3">
      <c r="B258" s="57"/>
      <c r="C258" s="56"/>
      <c r="D258" s="2"/>
      <c r="F258" s="2"/>
      <c r="G258" s="2"/>
      <c r="H258" s="2"/>
      <c r="I258" s="2"/>
      <c r="P258" s="58"/>
    </row>
    <row r="259" spans="2:16" ht="14.25" customHeight="1" x14ac:dyDescent="0.3">
      <c r="B259" s="57"/>
      <c r="C259" s="56"/>
      <c r="D259" s="2"/>
      <c r="F259" s="2"/>
      <c r="G259" s="2"/>
      <c r="H259" s="2"/>
      <c r="I259" s="2"/>
      <c r="P259" s="58"/>
    </row>
    <row r="260" spans="2:16" ht="14.25" customHeight="1" x14ac:dyDescent="0.3">
      <c r="B260" s="57"/>
      <c r="C260" s="56"/>
      <c r="D260" s="2"/>
      <c r="F260" s="2"/>
      <c r="G260" s="2"/>
      <c r="H260" s="2"/>
      <c r="I260" s="2"/>
      <c r="P260" s="58"/>
    </row>
    <row r="261" spans="2:16" ht="14.25" customHeight="1" x14ac:dyDescent="0.3">
      <c r="B261" s="57"/>
      <c r="C261" s="56"/>
      <c r="D261" s="2"/>
      <c r="F261" s="2"/>
      <c r="G261" s="2"/>
      <c r="H261" s="2"/>
      <c r="I261" s="2"/>
      <c r="P261" s="58"/>
    </row>
    <row r="262" spans="2:16" ht="14.25" customHeight="1" x14ac:dyDescent="0.3">
      <c r="B262" s="57"/>
      <c r="C262" s="56"/>
      <c r="D262" s="2"/>
      <c r="F262" s="2"/>
      <c r="G262" s="2"/>
      <c r="H262" s="2"/>
      <c r="I262" s="2"/>
      <c r="P262" s="58"/>
    </row>
    <row r="263" spans="2:16" ht="14.25" customHeight="1" x14ac:dyDescent="0.3">
      <c r="B263" s="57"/>
      <c r="C263" s="56"/>
      <c r="D263" s="2"/>
      <c r="F263" s="2"/>
      <c r="G263" s="2"/>
      <c r="H263" s="2"/>
      <c r="I263" s="2"/>
      <c r="P263" s="58"/>
    </row>
    <row r="264" spans="2:16" ht="14.25" customHeight="1" x14ac:dyDescent="0.3">
      <c r="B264" s="57"/>
      <c r="C264" s="56"/>
      <c r="D264" s="2"/>
      <c r="F264" s="2"/>
      <c r="G264" s="2"/>
      <c r="H264" s="2"/>
      <c r="I264" s="2"/>
      <c r="P264" s="58"/>
    </row>
    <row r="265" spans="2:16" ht="14.25" customHeight="1" x14ac:dyDescent="0.3">
      <c r="B265" s="57"/>
      <c r="C265" s="56"/>
      <c r="D265" s="2"/>
      <c r="F265" s="2"/>
      <c r="G265" s="2"/>
      <c r="H265" s="2"/>
      <c r="I265" s="2"/>
      <c r="P265" s="58"/>
    </row>
    <row r="266" spans="2:16" ht="14.25" customHeight="1" x14ac:dyDescent="0.3">
      <c r="B266" s="57"/>
      <c r="C266" s="56"/>
      <c r="D266" s="2"/>
      <c r="F266" s="2"/>
      <c r="G266" s="2"/>
      <c r="H266" s="2"/>
      <c r="I266" s="2"/>
      <c r="P266" s="58"/>
    </row>
    <row r="267" spans="2:16" ht="14.25" customHeight="1" x14ac:dyDescent="0.3">
      <c r="B267" s="57"/>
      <c r="C267" s="56"/>
      <c r="D267" s="2"/>
      <c r="F267" s="2"/>
      <c r="G267" s="2"/>
      <c r="H267" s="2"/>
      <c r="I267" s="2"/>
      <c r="P267" s="58"/>
    </row>
    <row r="268" spans="2:16" ht="14.25" customHeight="1" x14ac:dyDescent="0.3">
      <c r="B268" s="57"/>
      <c r="C268" s="56"/>
      <c r="D268" s="2"/>
      <c r="F268" s="2"/>
      <c r="G268" s="2"/>
      <c r="H268" s="2"/>
      <c r="I268" s="2"/>
      <c r="P268" s="58"/>
    </row>
    <row r="269" spans="2:16" ht="14.25" customHeight="1" x14ac:dyDescent="0.3">
      <c r="B269" s="57"/>
      <c r="C269" s="56"/>
      <c r="D269" s="2"/>
      <c r="F269" s="2"/>
      <c r="G269" s="2"/>
      <c r="H269" s="2"/>
      <c r="I269" s="2"/>
      <c r="P269" s="58"/>
    </row>
    <row r="270" spans="2:16" ht="14.25" customHeight="1" x14ac:dyDescent="0.3">
      <c r="B270" s="57"/>
      <c r="C270" s="56"/>
      <c r="D270" s="2"/>
      <c r="F270" s="2"/>
      <c r="G270" s="2"/>
      <c r="H270" s="2"/>
      <c r="I270" s="2"/>
      <c r="P270" s="58"/>
    </row>
    <row r="271" spans="2:16" ht="14.25" customHeight="1" x14ac:dyDescent="0.3">
      <c r="B271" s="57"/>
      <c r="C271" s="56"/>
      <c r="D271" s="2"/>
      <c r="F271" s="2"/>
      <c r="G271" s="2"/>
      <c r="H271" s="2"/>
      <c r="I271" s="2"/>
      <c r="P271" s="58"/>
    </row>
    <row r="272" spans="2:16" ht="14.25" customHeight="1" x14ac:dyDescent="0.3">
      <c r="B272" s="57"/>
      <c r="C272" s="56"/>
      <c r="D272" s="2"/>
      <c r="F272" s="2"/>
      <c r="G272" s="2"/>
      <c r="H272" s="2"/>
      <c r="I272" s="2"/>
      <c r="P272" s="58"/>
    </row>
    <row r="273" spans="2:16" ht="14.25" customHeight="1" x14ac:dyDescent="0.3">
      <c r="B273" s="57"/>
      <c r="C273" s="56"/>
      <c r="D273" s="2"/>
      <c r="F273" s="2"/>
      <c r="G273" s="2"/>
      <c r="H273" s="2"/>
      <c r="I273" s="2"/>
      <c r="P273" s="58"/>
    </row>
    <row r="274" spans="2:16" ht="14.25" customHeight="1" x14ac:dyDescent="0.3">
      <c r="B274" s="57"/>
      <c r="C274" s="56"/>
      <c r="D274" s="2"/>
      <c r="F274" s="2"/>
      <c r="G274" s="2"/>
      <c r="H274" s="2"/>
      <c r="I274" s="2"/>
      <c r="P274" s="58"/>
    </row>
    <row r="275" spans="2:16" ht="14.25" customHeight="1" x14ac:dyDescent="0.3">
      <c r="B275" s="57"/>
      <c r="C275" s="56"/>
      <c r="D275" s="2"/>
      <c r="F275" s="2"/>
      <c r="G275" s="2"/>
      <c r="H275" s="2"/>
      <c r="I275" s="2"/>
      <c r="P275" s="58"/>
    </row>
    <row r="276" spans="2:16" ht="14.25" customHeight="1" x14ac:dyDescent="0.3">
      <c r="B276" s="57"/>
      <c r="C276" s="56"/>
      <c r="D276" s="2"/>
      <c r="F276" s="2"/>
      <c r="G276" s="2"/>
      <c r="H276" s="2"/>
      <c r="I276" s="2"/>
      <c r="P276" s="58"/>
    </row>
    <row r="277" spans="2:16" ht="14.25" customHeight="1" x14ac:dyDescent="0.3">
      <c r="B277" s="57"/>
      <c r="C277" s="56"/>
      <c r="D277" s="2"/>
      <c r="F277" s="2"/>
      <c r="G277" s="2"/>
      <c r="H277" s="2"/>
      <c r="I277" s="2"/>
      <c r="P277" s="58"/>
    </row>
    <row r="278" spans="2:16" ht="14.25" customHeight="1" x14ac:dyDescent="0.3">
      <c r="B278" s="57"/>
      <c r="C278" s="56"/>
      <c r="D278" s="2"/>
      <c r="F278" s="2"/>
      <c r="G278" s="2"/>
      <c r="H278" s="2"/>
      <c r="I278" s="2"/>
      <c r="P278" s="58"/>
    </row>
    <row r="279" spans="2:16" ht="14.25" customHeight="1" x14ac:dyDescent="0.3">
      <c r="B279" s="57"/>
      <c r="C279" s="56"/>
      <c r="D279" s="2"/>
      <c r="F279" s="2"/>
      <c r="G279" s="2"/>
      <c r="H279" s="2"/>
      <c r="I279" s="2"/>
      <c r="P279" s="58"/>
    </row>
    <row r="280" spans="2:16" ht="14.25" customHeight="1" x14ac:dyDescent="0.3">
      <c r="B280" s="57"/>
      <c r="C280" s="56"/>
      <c r="D280" s="2"/>
      <c r="F280" s="2"/>
      <c r="G280" s="2"/>
      <c r="H280" s="2"/>
      <c r="I280" s="2"/>
      <c r="P280" s="58"/>
    </row>
    <row r="281" spans="2:16" ht="14.25" customHeight="1" x14ac:dyDescent="0.3">
      <c r="B281" s="57"/>
      <c r="C281" s="56"/>
      <c r="D281" s="2"/>
      <c r="F281" s="2"/>
      <c r="G281" s="2"/>
      <c r="H281" s="2"/>
      <c r="I281" s="2"/>
      <c r="P281" s="58"/>
    </row>
    <row r="282" spans="2:16" ht="14.25" customHeight="1" x14ac:dyDescent="0.3">
      <c r="B282" s="57"/>
      <c r="C282" s="56"/>
      <c r="D282" s="2"/>
      <c r="F282" s="2"/>
      <c r="G282" s="2"/>
      <c r="H282" s="2"/>
      <c r="I282" s="2"/>
      <c r="P282" s="58"/>
    </row>
    <row r="283" spans="2:16" ht="14.25" customHeight="1" x14ac:dyDescent="0.3">
      <c r="B283" s="57"/>
      <c r="C283" s="56"/>
      <c r="D283" s="2"/>
      <c r="F283" s="2"/>
      <c r="G283" s="2"/>
      <c r="H283" s="2"/>
      <c r="I283" s="2"/>
      <c r="P283" s="58"/>
    </row>
    <row r="284" spans="2:16" ht="14.25" customHeight="1" x14ac:dyDescent="0.3">
      <c r="B284" s="57"/>
      <c r="C284" s="56"/>
      <c r="D284" s="2"/>
      <c r="F284" s="2"/>
      <c r="G284" s="2"/>
      <c r="H284" s="2"/>
      <c r="I284" s="2"/>
      <c r="P284" s="58"/>
    </row>
    <row r="285" spans="2:16" ht="14.25" customHeight="1" x14ac:dyDescent="0.3">
      <c r="B285" s="57"/>
      <c r="C285" s="56"/>
      <c r="D285" s="2"/>
      <c r="F285" s="2"/>
      <c r="G285" s="2"/>
      <c r="H285" s="2"/>
      <c r="I285" s="2"/>
      <c r="P285" s="58"/>
    </row>
    <row r="286" spans="2:16" ht="14.25" customHeight="1" x14ac:dyDescent="0.3">
      <c r="B286" s="57"/>
      <c r="C286" s="56"/>
      <c r="D286" s="2"/>
      <c r="F286" s="2"/>
      <c r="G286" s="2"/>
      <c r="H286" s="2"/>
      <c r="I286" s="2"/>
      <c r="P286" s="58"/>
    </row>
    <row r="287" spans="2:16" ht="14.25" customHeight="1" x14ac:dyDescent="0.3">
      <c r="B287" s="57"/>
      <c r="C287" s="56"/>
      <c r="D287" s="2"/>
      <c r="F287" s="2"/>
      <c r="G287" s="2"/>
      <c r="H287" s="2"/>
      <c r="I287" s="2"/>
      <c r="P287" s="58"/>
    </row>
    <row r="288" spans="2:16" ht="14.25" customHeight="1" x14ac:dyDescent="0.3">
      <c r="B288" s="57"/>
      <c r="C288" s="56"/>
      <c r="D288" s="2"/>
      <c r="F288" s="2"/>
      <c r="G288" s="2"/>
      <c r="H288" s="2"/>
      <c r="I288" s="2"/>
      <c r="P288" s="58"/>
    </row>
    <row r="289" spans="2:16" ht="14.25" customHeight="1" x14ac:dyDescent="0.3">
      <c r="B289" s="57"/>
      <c r="C289" s="56"/>
      <c r="D289" s="2"/>
      <c r="F289" s="2"/>
      <c r="G289" s="2"/>
      <c r="H289" s="2"/>
      <c r="I289" s="2"/>
      <c r="P289" s="58"/>
    </row>
    <row r="290" spans="2:16" ht="14.25" customHeight="1" x14ac:dyDescent="0.3">
      <c r="B290" s="57"/>
      <c r="C290" s="56"/>
      <c r="D290" s="2"/>
      <c r="F290" s="2"/>
      <c r="G290" s="2"/>
      <c r="H290" s="2"/>
      <c r="I290" s="2"/>
      <c r="P290" s="58"/>
    </row>
    <row r="291" spans="2:16" ht="14.25" customHeight="1" x14ac:dyDescent="0.3">
      <c r="B291" s="57"/>
      <c r="C291" s="56"/>
      <c r="D291" s="2"/>
      <c r="F291" s="2"/>
      <c r="G291" s="2"/>
      <c r="H291" s="2"/>
      <c r="I291" s="2"/>
      <c r="P291" s="58"/>
    </row>
    <row r="292" spans="2:16" ht="14.25" customHeight="1" x14ac:dyDescent="0.3">
      <c r="B292" s="57"/>
      <c r="C292" s="56"/>
      <c r="D292" s="2"/>
      <c r="F292" s="2"/>
      <c r="G292" s="2"/>
      <c r="H292" s="2"/>
      <c r="I292" s="2"/>
      <c r="P292" s="58"/>
    </row>
    <row r="293" spans="2:16" ht="14.25" customHeight="1" x14ac:dyDescent="0.3">
      <c r="B293" s="57"/>
      <c r="C293" s="56"/>
      <c r="D293" s="2"/>
      <c r="F293" s="2"/>
      <c r="G293" s="2"/>
      <c r="H293" s="2"/>
      <c r="I293" s="2"/>
      <c r="P293" s="58"/>
    </row>
    <row r="294" spans="2:16" ht="14.25" customHeight="1" x14ac:dyDescent="0.3">
      <c r="B294" s="57"/>
      <c r="C294" s="56"/>
      <c r="D294" s="2"/>
      <c r="F294" s="2"/>
      <c r="G294" s="2"/>
      <c r="H294" s="2"/>
      <c r="I294" s="2"/>
      <c r="P294" s="58"/>
    </row>
    <row r="295" spans="2:16" ht="14.25" customHeight="1" x14ac:dyDescent="0.3">
      <c r="B295" s="57"/>
      <c r="C295" s="56"/>
      <c r="D295" s="2"/>
      <c r="F295" s="2"/>
      <c r="G295" s="2"/>
      <c r="H295" s="2"/>
      <c r="I295" s="2"/>
      <c r="P295" s="58"/>
    </row>
    <row r="296" spans="2:16" ht="14.25" customHeight="1" x14ac:dyDescent="0.3">
      <c r="B296" s="57"/>
      <c r="C296" s="56"/>
      <c r="D296" s="2"/>
      <c r="F296" s="2"/>
      <c r="G296" s="2"/>
      <c r="H296" s="2"/>
      <c r="I296" s="2"/>
      <c r="P296" s="58"/>
    </row>
    <row r="297" spans="2:16" ht="14.25" customHeight="1" x14ac:dyDescent="0.3">
      <c r="B297" s="57"/>
      <c r="C297" s="56"/>
      <c r="D297" s="2"/>
      <c r="F297" s="2"/>
      <c r="G297" s="2"/>
      <c r="H297" s="2"/>
      <c r="I297" s="2"/>
      <c r="P297" s="58"/>
    </row>
    <row r="298" spans="2:16" ht="14.25" customHeight="1" x14ac:dyDescent="0.3">
      <c r="B298" s="57"/>
      <c r="C298" s="56"/>
      <c r="D298" s="2"/>
      <c r="F298" s="2"/>
      <c r="G298" s="2"/>
      <c r="H298" s="2"/>
      <c r="I298" s="2"/>
      <c r="P298" s="58"/>
    </row>
    <row r="299" spans="2:16" ht="14.25" customHeight="1" x14ac:dyDescent="0.3">
      <c r="B299" s="57"/>
      <c r="C299" s="56"/>
      <c r="D299" s="2"/>
      <c r="F299" s="2"/>
      <c r="G299" s="2"/>
      <c r="H299" s="2"/>
      <c r="I299" s="2"/>
      <c r="P299" s="58"/>
    </row>
    <row r="300" spans="2:16" ht="14.25" customHeight="1" x14ac:dyDescent="0.3">
      <c r="B300" s="57"/>
      <c r="C300" s="56"/>
      <c r="D300" s="2"/>
      <c r="F300" s="2"/>
      <c r="G300" s="2"/>
      <c r="H300" s="2"/>
      <c r="I300" s="2"/>
      <c r="P300" s="58"/>
    </row>
    <row r="301" spans="2:16" ht="14.25" customHeight="1" x14ac:dyDescent="0.3">
      <c r="B301" s="57"/>
      <c r="C301" s="56"/>
      <c r="D301" s="2"/>
      <c r="F301" s="2"/>
      <c r="G301" s="2"/>
      <c r="H301" s="2"/>
      <c r="I301" s="2"/>
      <c r="P301" s="58"/>
    </row>
    <row r="302" spans="2:16" ht="14.25" customHeight="1" x14ac:dyDescent="0.3">
      <c r="B302" s="57"/>
      <c r="C302" s="56"/>
      <c r="D302" s="2"/>
      <c r="F302" s="2"/>
      <c r="G302" s="2"/>
      <c r="H302" s="2"/>
      <c r="I302" s="2"/>
      <c r="P302" s="58"/>
    </row>
    <row r="303" spans="2:16" ht="14.25" customHeight="1" x14ac:dyDescent="0.3">
      <c r="B303" s="57"/>
      <c r="C303" s="56"/>
      <c r="D303" s="2"/>
      <c r="F303" s="2"/>
      <c r="G303" s="2"/>
      <c r="H303" s="2"/>
      <c r="I303" s="2"/>
      <c r="P303" s="58"/>
    </row>
    <row r="304" spans="2:16" ht="14.25" customHeight="1" x14ac:dyDescent="0.3">
      <c r="B304" s="57"/>
      <c r="C304" s="56"/>
      <c r="D304" s="2"/>
      <c r="F304" s="2"/>
      <c r="G304" s="2"/>
      <c r="H304" s="2"/>
      <c r="I304" s="2"/>
      <c r="P304" s="58"/>
    </row>
    <row r="305" spans="2:16" ht="14.25" customHeight="1" x14ac:dyDescent="0.3">
      <c r="B305" s="57"/>
      <c r="C305" s="56"/>
      <c r="D305" s="2"/>
      <c r="F305" s="2"/>
      <c r="G305" s="2"/>
      <c r="H305" s="2"/>
      <c r="I305" s="2"/>
      <c r="P305" s="58"/>
    </row>
    <row r="306" spans="2:16" ht="14.25" customHeight="1" x14ac:dyDescent="0.3">
      <c r="B306" s="57"/>
      <c r="C306" s="56"/>
      <c r="D306" s="2"/>
      <c r="F306" s="2"/>
      <c r="G306" s="2"/>
      <c r="H306" s="2"/>
      <c r="I306" s="2"/>
      <c r="P306" s="58"/>
    </row>
    <row r="307" spans="2:16" ht="14.25" customHeight="1" x14ac:dyDescent="0.3">
      <c r="B307" s="57"/>
      <c r="C307" s="56"/>
      <c r="D307" s="2"/>
      <c r="F307" s="2"/>
      <c r="G307" s="2"/>
      <c r="H307" s="2"/>
      <c r="I307" s="2"/>
      <c r="P307" s="58"/>
    </row>
    <row r="308" spans="2:16" ht="14.25" customHeight="1" x14ac:dyDescent="0.3">
      <c r="B308" s="57"/>
      <c r="C308" s="56"/>
      <c r="D308" s="2"/>
      <c r="F308" s="2"/>
      <c r="G308" s="2"/>
      <c r="H308" s="2"/>
      <c r="I308" s="2"/>
      <c r="P308" s="58"/>
    </row>
    <row r="309" spans="2:16" ht="14.25" customHeight="1" x14ac:dyDescent="0.3">
      <c r="B309" s="57"/>
      <c r="C309" s="56"/>
      <c r="D309" s="2"/>
      <c r="F309" s="2"/>
      <c r="G309" s="2"/>
      <c r="H309" s="2"/>
      <c r="I309" s="2"/>
      <c r="P309" s="58"/>
    </row>
    <row r="310" spans="2:16" ht="14.25" customHeight="1" x14ac:dyDescent="0.3">
      <c r="B310" s="57"/>
      <c r="C310" s="56"/>
      <c r="D310" s="2"/>
      <c r="F310" s="2"/>
      <c r="G310" s="2"/>
      <c r="H310" s="2"/>
      <c r="I310" s="2"/>
      <c r="P310" s="58"/>
    </row>
    <row r="311" spans="2:16" ht="14.25" customHeight="1" x14ac:dyDescent="0.3">
      <c r="B311" s="57"/>
      <c r="C311" s="56"/>
      <c r="D311" s="2"/>
      <c r="F311" s="2"/>
      <c r="G311" s="2"/>
      <c r="H311" s="2"/>
      <c r="I311" s="2"/>
      <c r="P311" s="58"/>
    </row>
    <row r="312" spans="2:16" ht="14.25" customHeight="1" x14ac:dyDescent="0.3">
      <c r="B312" s="57"/>
      <c r="C312" s="56"/>
      <c r="D312" s="2"/>
      <c r="F312" s="2"/>
      <c r="G312" s="2"/>
      <c r="H312" s="2"/>
      <c r="I312" s="2"/>
      <c r="P312" s="58"/>
    </row>
    <row r="313" spans="2:16" ht="14.25" customHeight="1" x14ac:dyDescent="0.3">
      <c r="B313" s="57"/>
      <c r="C313" s="56"/>
      <c r="D313" s="2"/>
      <c r="F313" s="2"/>
      <c r="G313" s="2"/>
      <c r="H313" s="2"/>
      <c r="I313" s="2"/>
      <c r="P313" s="58"/>
    </row>
    <row r="314" spans="2:16" ht="14.25" customHeight="1" x14ac:dyDescent="0.3">
      <c r="B314" s="57"/>
      <c r="C314" s="56"/>
      <c r="D314" s="2"/>
      <c r="F314" s="2"/>
      <c r="G314" s="2"/>
      <c r="H314" s="2"/>
      <c r="I314" s="2"/>
      <c r="P314" s="58"/>
    </row>
    <row r="315" spans="2:16" ht="14.25" customHeight="1" x14ac:dyDescent="0.3">
      <c r="B315" s="57"/>
      <c r="C315" s="56"/>
      <c r="D315" s="2"/>
      <c r="F315" s="2"/>
      <c r="G315" s="2"/>
      <c r="H315" s="2"/>
      <c r="I315" s="2"/>
      <c r="P315" s="58"/>
    </row>
    <row r="316" spans="2:16" ht="14.25" customHeight="1" x14ac:dyDescent="0.3">
      <c r="B316" s="57"/>
      <c r="C316" s="56"/>
      <c r="D316" s="2"/>
      <c r="F316" s="2"/>
      <c r="G316" s="2"/>
      <c r="H316" s="2"/>
      <c r="I316" s="2"/>
      <c r="P316" s="58"/>
    </row>
    <row r="317" spans="2:16" ht="14.25" customHeight="1" x14ac:dyDescent="0.3">
      <c r="B317" s="57"/>
      <c r="C317" s="56"/>
      <c r="D317" s="2"/>
      <c r="F317" s="2"/>
      <c r="G317" s="2"/>
      <c r="H317" s="2"/>
      <c r="I317" s="2"/>
      <c r="P317" s="58"/>
    </row>
    <row r="318" spans="2:16" ht="14.25" customHeight="1" x14ac:dyDescent="0.3">
      <c r="B318" s="57"/>
      <c r="C318" s="56"/>
      <c r="D318" s="2"/>
      <c r="F318" s="2"/>
      <c r="G318" s="2"/>
      <c r="H318" s="2"/>
      <c r="I318" s="2"/>
      <c r="P318" s="58"/>
    </row>
    <row r="319" spans="2:16" ht="14.25" customHeight="1" x14ac:dyDescent="0.3">
      <c r="B319" s="57"/>
      <c r="C319" s="56"/>
      <c r="D319" s="2"/>
      <c r="F319" s="2"/>
      <c r="G319" s="2"/>
      <c r="H319" s="2"/>
      <c r="I319" s="2"/>
      <c r="P319" s="58"/>
    </row>
    <row r="320" spans="2:16" ht="14.25" customHeight="1" x14ac:dyDescent="0.3">
      <c r="B320" s="57"/>
      <c r="C320" s="56"/>
      <c r="D320" s="2"/>
      <c r="F320" s="2"/>
      <c r="G320" s="2"/>
      <c r="H320" s="2"/>
      <c r="I320" s="2"/>
      <c r="P320" s="58"/>
    </row>
    <row r="321" spans="2:16" ht="14.25" customHeight="1" x14ac:dyDescent="0.3">
      <c r="B321" s="57"/>
      <c r="C321" s="56"/>
      <c r="D321" s="2"/>
      <c r="F321" s="2"/>
      <c r="G321" s="2"/>
      <c r="H321" s="2"/>
      <c r="I321" s="2"/>
      <c r="P321" s="58"/>
    </row>
    <row r="322" spans="2:16" ht="14.25" customHeight="1" x14ac:dyDescent="0.3">
      <c r="B322" s="57"/>
      <c r="C322" s="56"/>
      <c r="D322" s="2"/>
      <c r="F322" s="2"/>
      <c r="G322" s="2"/>
      <c r="H322" s="2"/>
      <c r="I322" s="2"/>
      <c r="P322" s="58"/>
    </row>
    <row r="323" spans="2:16" ht="14.25" customHeight="1" x14ac:dyDescent="0.3">
      <c r="B323" s="57"/>
      <c r="C323" s="56"/>
      <c r="D323" s="2"/>
      <c r="F323" s="2"/>
      <c r="G323" s="2"/>
      <c r="H323" s="2"/>
      <c r="I323" s="2"/>
      <c r="P323" s="58"/>
    </row>
    <row r="324" spans="2:16" ht="14.25" customHeight="1" x14ac:dyDescent="0.3">
      <c r="B324" s="57"/>
      <c r="C324" s="56"/>
      <c r="D324" s="2"/>
      <c r="F324" s="2"/>
      <c r="G324" s="2"/>
      <c r="H324" s="2"/>
      <c r="I324" s="2"/>
      <c r="P324" s="58"/>
    </row>
    <row r="325" spans="2:16" ht="14.25" customHeight="1" x14ac:dyDescent="0.3">
      <c r="B325" s="57"/>
      <c r="C325" s="56"/>
      <c r="D325" s="2"/>
      <c r="F325" s="2"/>
      <c r="G325" s="2"/>
      <c r="H325" s="2"/>
      <c r="I325" s="2"/>
      <c r="P325" s="58"/>
    </row>
    <row r="326" spans="2:16" ht="14.25" customHeight="1" x14ac:dyDescent="0.3">
      <c r="B326" s="57"/>
      <c r="C326" s="56"/>
      <c r="D326" s="2"/>
      <c r="F326" s="2"/>
      <c r="G326" s="2"/>
      <c r="H326" s="2"/>
      <c r="I326" s="2"/>
      <c r="P326" s="58"/>
    </row>
    <row r="327" spans="2:16" ht="14.25" customHeight="1" x14ac:dyDescent="0.3">
      <c r="B327" s="57"/>
      <c r="C327" s="56"/>
      <c r="D327" s="2"/>
      <c r="F327" s="2"/>
      <c r="G327" s="2"/>
      <c r="H327" s="2"/>
      <c r="I327" s="2"/>
      <c r="P327" s="58"/>
    </row>
    <row r="328" spans="2:16" ht="14.25" customHeight="1" x14ac:dyDescent="0.3">
      <c r="B328" s="57"/>
      <c r="C328" s="56"/>
      <c r="D328" s="2"/>
      <c r="F328" s="2"/>
      <c r="G328" s="2"/>
      <c r="H328" s="2"/>
      <c r="I328" s="2"/>
      <c r="P328" s="58"/>
    </row>
    <row r="329" spans="2:16" ht="14.25" customHeight="1" x14ac:dyDescent="0.3">
      <c r="B329" s="57"/>
      <c r="C329" s="56"/>
      <c r="D329" s="2"/>
      <c r="F329" s="2"/>
      <c r="G329" s="2"/>
      <c r="H329" s="2"/>
      <c r="I329" s="2"/>
      <c r="P329" s="58"/>
    </row>
    <row r="330" spans="2:16" ht="14.25" customHeight="1" x14ac:dyDescent="0.3">
      <c r="B330" s="57"/>
      <c r="C330" s="56"/>
      <c r="D330" s="2"/>
      <c r="F330" s="2"/>
      <c r="G330" s="2"/>
      <c r="H330" s="2"/>
      <c r="I330" s="2"/>
      <c r="P330" s="58"/>
    </row>
    <row r="331" spans="2:16" ht="14.25" customHeight="1" x14ac:dyDescent="0.3">
      <c r="B331" s="57"/>
      <c r="C331" s="56"/>
      <c r="D331" s="2"/>
      <c r="F331" s="2"/>
      <c r="G331" s="2"/>
      <c r="H331" s="2"/>
      <c r="I331" s="2"/>
      <c r="P331" s="58"/>
    </row>
    <row r="332" spans="2:16" ht="14.25" customHeight="1" x14ac:dyDescent="0.3">
      <c r="B332" s="57"/>
      <c r="C332" s="56"/>
      <c r="D332" s="2"/>
      <c r="F332" s="2"/>
      <c r="G332" s="2"/>
      <c r="H332" s="2"/>
      <c r="I332" s="2"/>
      <c r="P332" s="58"/>
    </row>
    <row r="333" spans="2:16" ht="14.25" customHeight="1" x14ac:dyDescent="0.3">
      <c r="B333" s="57"/>
      <c r="C333" s="56"/>
      <c r="D333" s="2"/>
      <c r="F333" s="2"/>
      <c r="G333" s="2"/>
      <c r="H333" s="2"/>
      <c r="I333" s="2"/>
      <c r="P333" s="58"/>
    </row>
    <row r="334" spans="2:16" ht="14.25" customHeight="1" x14ac:dyDescent="0.3">
      <c r="B334" s="57"/>
      <c r="C334" s="56"/>
      <c r="D334" s="2"/>
      <c r="F334" s="2"/>
      <c r="G334" s="2"/>
      <c r="H334" s="2"/>
      <c r="I334" s="2"/>
      <c r="P334" s="58"/>
    </row>
    <row r="335" spans="2:16" ht="14.25" customHeight="1" x14ac:dyDescent="0.3">
      <c r="B335" s="57"/>
      <c r="C335" s="56"/>
      <c r="D335" s="2"/>
      <c r="F335" s="2"/>
      <c r="G335" s="2"/>
      <c r="H335" s="2"/>
      <c r="I335" s="2"/>
      <c r="P335" s="58"/>
    </row>
    <row r="336" spans="2:16" ht="14.25" customHeight="1" x14ac:dyDescent="0.3">
      <c r="B336" s="57"/>
      <c r="C336" s="56"/>
      <c r="D336" s="2"/>
      <c r="F336" s="2"/>
      <c r="G336" s="2"/>
      <c r="H336" s="2"/>
      <c r="I336" s="2"/>
      <c r="P336" s="58"/>
    </row>
    <row r="337" spans="2:16" ht="14.25" customHeight="1" x14ac:dyDescent="0.3">
      <c r="B337" s="57"/>
      <c r="C337" s="56"/>
      <c r="D337" s="2"/>
      <c r="F337" s="2"/>
      <c r="G337" s="2"/>
      <c r="H337" s="2"/>
      <c r="I337" s="2"/>
      <c r="P337" s="58"/>
    </row>
    <row r="338" spans="2:16" ht="14.25" customHeight="1" x14ac:dyDescent="0.3">
      <c r="B338" s="57"/>
      <c r="C338" s="56"/>
      <c r="D338" s="2"/>
      <c r="F338" s="2"/>
      <c r="G338" s="2"/>
      <c r="H338" s="2"/>
      <c r="I338" s="2"/>
      <c r="P338" s="58"/>
    </row>
    <row r="339" spans="2:16" ht="14.25" customHeight="1" x14ac:dyDescent="0.3">
      <c r="B339" s="57"/>
      <c r="C339" s="56"/>
      <c r="D339" s="2"/>
      <c r="F339" s="2"/>
      <c r="G339" s="2"/>
      <c r="H339" s="2"/>
      <c r="I339" s="2"/>
      <c r="P339" s="58"/>
    </row>
    <row r="340" spans="2:16" ht="14.25" customHeight="1" x14ac:dyDescent="0.3">
      <c r="B340" s="57"/>
      <c r="C340" s="56"/>
      <c r="D340" s="2"/>
      <c r="F340" s="2"/>
      <c r="G340" s="2"/>
      <c r="H340" s="2"/>
      <c r="I340" s="2"/>
      <c r="P340" s="58"/>
    </row>
    <row r="341" spans="2:16" ht="14.25" customHeight="1" x14ac:dyDescent="0.3">
      <c r="B341" s="57"/>
      <c r="C341" s="56"/>
      <c r="D341" s="2"/>
      <c r="F341" s="2"/>
      <c r="G341" s="2"/>
      <c r="H341" s="2"/>
      <c r="I341" s="2"/>
      <c r="P341" s="58"/>
    </row>
    <row r="342" spans="2:16" ht="14.25" customHeight="1" x14ac:dyDescent="0.3">
      <c r="B342" s="57"/>
      <c r="C342" s="56"/>
      <c r="D342" s="2"/>
      <c r="F342" s="2"/>
      <c r="G342" s="2"/>
      <c r="H342" s="2"/>
      <c r="I342" s="2"/>
      <c r="P342" s="58"/>
    </row>
    <row r="343" spans="2:16" ht="14.25" customHeight="1" x14ac:dyDescent="0.3">
      <c r="B343" s="57"/>
      <c r="C343" s="56"/>
      <c r="D343" s="2"/>
      <c r="F343" s="2"/>
      <c r="G343" s="2"/>
      <c r="H343" s="2"/>
      <c r="I343" s="2"/>
      <c r="P343" s="58"/>
    </row>
    <row r="344" spans="2:16" ht="14.25" customHeight="1" x14ac:dyDescent="0.3">
      <c r="B344" s="57"/>
      <c r="C344" s="56"/>
      <c r="D344" s="2"/>
      <c r="F344" s="2"/>
      <c r="G344" s="2"/>
      <c r="H344" s="2"/>
      <c r="I344" s="2"/>
      <c r="P344" s="58"/>
    </row>
    <row r="345" spans="2:16" ht="14.25" customHeight="1" x14ac:dyDescent="0.3">
      <c r="B345" s="57"/>
      <c r="C345" s="56"/>
      <c r="D345" s="2"/>
      <c r="F345" s="2"/>
      <c r="G345" s="2"/>
      <c r="H345" s="2"/>
      <c r="I345" s="2"/>
      <c r="P345" s="58"/>
    </row>
    <row r="346" spans="2:16" ht="14.25" customHeight="1" x14ac:dyDescent="0.3">
      <c r="B346" s="57"/>
      <c r="C346" s="56"/>
      <c r="D346" s="2"/>
      <c r="F346" s="2"/>
      <c r="G346" s="2"/>
      <c r="H346" s="2"/>
      <c r="I346" s="2"/>
      <c r="P346" s="58"/>
    </row>
    <row r="347" spans="2:16" ht="14.25" customHeight="1" x14ac:dyDescent="0.3">
      <c r="B347" s="57"/>
      <c r="C347" s="56"/>
      <c r="D347" s="2"/>
      <c r="F347" s="2"/>
      <c r="G347" s="2"/>
      <c r="H347" s="2"/>
      <c r="I347" s="2"/>
      <c r="P347" s="58"/>
    </row>
    <row r="348" spans="2:16" ht="14.25" customHeight="1" x14ac:dyDescent="0.3">
      <c r="B348" s="57"/>
      <c r="C348" s="56"/>
      <c r="D348" s="2"/>
      <c r="F348" s="2"/>
      <c r="G348" s="2"/>
      <c r="H348" s="2"/>
      <c r="I348" s="2"/>
      <c r="P348" s="58"/>
    </row>
    <row r="349" spans="2:16" ht="14.25" customHeight="1" x14ac:dyDescent="0.3">
      <c r="B349" s="57"/>
      <c r="C349" s="56"/>
      <c r="D349" s="2"/>
      <c r="F349" s="2"/>
      <c r="G349" s="2"/>
      <c r="H349" s="2"/>
      <c r="I349" s="2"/>
      <c r="P349" s="58"/>
    </row>
    <row r="350" spans="2:16" ht="14.25" customHeight="1" x14ac:dyDescent="0.3">
      <c r="B350" s="57"/>
      <c r="C350" s="56"/>
      <c r="D350" s="2"/>
      <c r="F350" s="2"/>
      <c r="G350" s="2"/>
      <c r="H350" s="2"/>
      <c r="I350" s="2"/>
      <c r="P350" s="58"/>
    </row>
    <row r="351" spans="2:16" ht="14.25" customHeight="1" x14ac:dyDescent="0.3">
      <c r="B351" s="57"/>
      <c r="C351" s="56"/>
      <c r="D351" s="2"/>
      <c r="F351" s="2"/>
      <c r="G351" s="2"/>
      <c r="H351" s="2"/>
      <c r="I351" s="2"/>
      <c r="P351" s="58"/>
    </row>
    <row r="352" spans="2:16" ht="14.25" customHeight="1" x14ac:dyDescent="0.3">
      <c r="B352" s="57"/>
      <c r="C352" s="56"/>
      <c r="D352" s="2"/>
      <c r="F352" s="2"/>
      <c r="G352" s="2"/>
      <c r="H352" s="2"/>
      <c r="I352" s="2"/>
      <c r="P352" s="58"/>
    </row>
    <row r="353" spans="2:16" ht="14.25" customHeight="1" x14ac:dyDescent="0.3">
      <c r="B353" s="57"/>
      <c r="C353" s="56"/>
      <c r="D353" s="2"/>
      <c r="F353" s="2"/>
      <c r="G353" s="2"/>
      <c r="H353" s="2"/>
      <c r="I353" s="2"/>
      <c r="P353" s="58"/>
    </row>
    <row r="354" spans="2:16" ht="14.25" customHeight="1" x14ac:dyDescent="0.3">
      <c r="B354" s="57"/>
      <c r="C354" s="56"/>
      <c r="D354" s="2"/>
      <c r="F354" s="2"/>
      <c r="G354" s="2"/>
      <c r="H354" s="2"/>
      <c r="I354" s="2"/>
      <c r="P354" s="58"/>
    </row>
    <row r="355" spans="2:16" ht="14.25" customHeight="1" x14ac:dyDescent="0.3">
      <c r="B355" s="57"/>
      <c r="C355" s="56"/>
      <c r="D355" s="2"/>
      <c r="F355" s="2"/>
      <c r="G355" s="2"/>
      <c r="H355" s="2"/>
      <c r="I355" s="2"/>
      <c r="P355" s="58"/>
    </row>
    <row r="356" spans="2:16" ht="14.25" customHeight="1" x14ac:dyDescent="0.3">
      <c r="B356" s="57"/>
      <c r="C356" s="56"/>
      <c r="D356" s="2"/>
      <c r="F356" s="2"/>
      <c r="G356" s="2"/>
      <c r="H356" s="2"/>
      <c r="I356" s="2"/>
      <c r="P356" s="58"/>
    </row>
    <row r="357" spans="2:16" ht="14.25" customHeight="1" x14ac:dyDescent="0.3">
      <c r="B357" s="57"/>
      <c r="C357" s="56"/>
      <c r="D357" s="2"/>
      <c r="F357" s="2"/>
      <c r="G357" s="2"/>
      <c r="H357" s="2"/>
      <c r="I357" s="2"/>
      <c r="P357" s="58"/>
    </row>
    <row r="358" spans="2:16" ht="14.25" customHeight="1" x14ac:dyDescent="0.3">
      <c r="B358" s="57"/>
      <c r="C358" s="56"/>
      <c r="D358" s="2"/>
      <c r="F358" s="2"/>
      <c r="G358" s="2"/>
      <c r="H358" s="2"/>
      <c r="I358" s="2"/>
      <c r="P358" s="58"/>
    </row>
    <row r="359" spans="2:16" ht="14.25" customHeight="1" x14ac:dyDescent="0.3">
      <c r="B359" s="57"/>
      <c r="C359" s="56"/>
      <c r="D359" s="2"/>
      <c r="F359" s="2"/>
      <c r="G359" s="2"/>
      <c r="H359" s="2"/>
      <c r="I359" s="2"/>
      <c r="P359" s="58"/>
    </row>
    <row r="360" spans="2:16" ht="14.25" customHeight="1" x14ac:dyDescent="0.3">
      <c r="B360" s="57"/>
      <c r="C360" s="56"/>
      <c r="D360" s="2"/>
      <c r="F360" s="2"/>
      <c r="G360" s="2"/>
      <c r="H360" s="2"/>
      <c r="I360" s="2"/>
      <c r="P360" s="58"/>
    </row>
    <row r="361" spans="2:16" ht="14.25" customHeight="1" x14ac:dyDescent="0.3">
      <c r="B361" s="57"/>
      <c r="C361" s="56"/>
      <c r="D361" s="2"/>
      <c r="F361" s="2"/>
      <c r="G361" s="2"/>
      <c r="H361" s="2"/>
      <c r="I361" s="2"/>
      <c r="P361" s="58"/>
    </row>
    <row r="362" spans="2:16" ht="14.25" customHeight="1" x14ac:dyDescent="0.3">
      <c r="B362" s="57"/>
      <c r="C362" s="56"/>
      <c r="D362" s="2"/>
      <c r="F362" s="2"/>
      <c r="G362" s="2"/>
      <c r="H362" s="2"/>
      <c r="I362" s="2"/>
      <c r="P362" s="58"/>
    </row>
    <row r="363" spans="2:16" ht="14.25" customHeight="1" x14ac:dyDescent="0.3">
      <c r="B363" s="57"/>
      <c r="C363" s="56"/>
      <c r="D363" s="2"/>
      <c r="F363" s="2"/>
      <c r="G363" s="2"/>
      <c r="H363" s="2"/>
      <c r="I363" s="2"/>
      <c r="P363" s="58"/>
    </row>
    <row r="364" spans="2:16" ht="14.25" customHeight="1" x14ac:dyDescent="0.3">
      <c r="B364" s="57"/>
      <c r="C364" s="56"/>
      <c r="D364" s="2"/>
      <c r="F364" s="2"/>
      <c r="G364" s="2"/>
      <c r="H364" s="2"/>
      <c r="I364" s="2"/>
      <c r="P364" s="58"/>
    </row>
    <row r="365" spans="2:16" ht="14.25" customHeight="1" x14ac:dyDescent="0.3">
      <c r="B365" s="57"/>
      <c r="C365" s="56"/>
      <c r="D365" s="2"/>
      <c r="F365" s="2"/>
      <c r="G365" s="2"/>
      <c r="H365" s="2"/>
      <c r="I365" s="2"/>
      <c r="P365" s="58"/>
    </row>
    <row r="366" spans="2:16" ht="14.25" customHeight="1" x14ac:dyDescent="0.3">
      <c r="B366" s="57"/>
      <c r="C366" s="56"/>
      <c r="D366" s="2"/>
      <c r="F366" s="2"/>
      <c r="G366" s="2"/>
      <c r="H366" s="2"/>
      <c r="I366" s="2"/>
      <c r="P366" s="58"/>
    </row>
    <row r="367" spans="2:16" ht="14.25" customHeight="1" x14ac:dyDescent="0.3">
      <c r="B367" s="57"/>
      <c r="C367" s="56"/>
      <c r="D367" s="2"/>
      <c r="F367" s="2"/>
      <c r="G367" s="2"/>
      <c r="H367" s="2"/>
      <c r="I367" s="2"/>
      <c r="P367" s="58"/>
    </row>
    <row r="368" spans="2:16" ht="14.25" customHeight="1" x14ac:dyDescent="0.3">
      <c r="B368" s="57"/>
      <c r="C368" s="56"/>
      <c r="D368" s="2"/>
      <c r="F368" s="2"/>
      <c r="G368" s="2"/>
      <c r="H368" s="2"/>
      <c r="I368" s="2"/>
      <c r="P368" s="58"/>
    </row>
    <row r="369" spans="2:16" ht="14.25" customHeight="1" x14ac:dyDescent="0.3">
      <c r="B369" s="57"/>
      <c r="C369" s="56"/>
      <c r="D369" s="2"/>
      <c r="F369" s="2"/>
      <c r="G369" s="2"/>
      <c r="H369" s="2"/>
      <c r="I369" s="2"/>
      <c r="P369" s="58"/>
    </row>
    <row r="370" spans="2:16" ht="14.25" customHeight="1" x14ac:dyDescent="0.3">
      <c r="B370" s="57"/>
      <c r="C370" s="56"/>
      <c r="D370" s="2"/>
      <c r="F370" s="2"/>
      <c r="G370" s="2"/>
      <c r="H370" s="2"/>
      <c r="I370" s="2"/>
      <c r="P370" s="58"/>
    </row>
    <row r="371" spans="2:16" ht="14.25" customHeight="1" x14ac:dyDescent="0.3">
      <c r="B371" s="57"/>
      <c r="C371" s="56"/>
      <c r="D371" s="2"/>
      <c r="F371" s="2"/>
      <c r="G371" s="2"/>
      <c r="H371" s="2"/>
      <c r="I371" s="2"/>
      <c r="P371" s="58"/>
    </row>
    <row r="372" spans="2:16" ht="14.25" customHeight="1" x14ac:dyDescent="0.3">
      <c r="B372" s="57"/>
      <c r="C372" s="56"/>
      <c r="D372" s="2"/>
      <c r="F372" s="2"/>
      <c r="G372" s="2"/>
      <c r="H372" s="2"/>
      <c r="I372" s="2"/>
      <c r="P372" s="58"/>
    </row>
    <row r="373" spans="2:16" ht="14.25" customHeight="1" x14ac:dyDescent="0.3">
      <c r="B373" s="57"/>
      <c r="C373" s="56"/>
      <c r="D373" s="2"/>
      <c r="F373" s="2"/>
      <c r="G373" s="2"/>
      <c r="H373" s="2"/>
      <c r="I373" s="2"/>
      <c r="P373" s="58"/>
    </row>
    <row r="374" spans="2:16" ht="14.25" customHeight="1" x14ac:dyDescent="0.3">
      <c r="B374" s="57"/>
      <c r="C374" s="56"/>
      <c r="D374" s="2"/>
      <c r="F374" s="2"/>
      <c r="G374" s="2"/>
      <c r="H374" s="2"/>
      <c r="I374" s="2"/>
      <c r="P374" s="58"/>
    </row>
    <row r="375" spans="2:16" ht="14.25" customHeight="1" x14ac:dyDescent="0.3">
      <c r="B375" s="57"/>
      <c r="C375" s="56"/>
      <c r="D375" s="2"/>
      <c r="F375" s="2"/>
      <c r="G375" s="2"/>
      <c r="H375" s="2"/>
      <c r="I375" s="2"/>
      <c r="P375" s="58"/>
    </row>
    <row r="376" spans="2:16" ht="14.25" customHeight="1" x14ac:dyDescent="0.3">
      <c r="B376" s="57"/>
      <c r="C376" s="56"/>
      <c r="D376" s="2"/>
      <c r="F376" s="2"/>
      <c r="G376" s="2"/>
      <c r="H376" s="2"/>
      <c r="I376" s="2"/>
      <c r="P376" s="58"/>
    </row>
    <row r="377" spans="2:16" ht="14.25" customHeight="1" x14ac:dyDescent="0.3">
      <c r="B377" s="57"/>
      <c r="C377" s="56"/>
      <c r="D377" s="2"/>
      <c r="F377" s="2"/>
      <c r="G377" s="2"/>
      <c r="H377" s="2"/>
      <c r="I377" s="2"/>
      <c r="P377" s="58"/>
    </row>
    <row r="378" spans="2:16" ht="14.25" customHeight="1" x14ac:dyDescent="0.3">
      <c r="B378" s="57"/>
      <c r="C378" s="56"/>
      <c r="D378" s="2"/>
      <c r="F378" s="2"/>
      <c r="G378" s="2"/>
      <c r="H378" s="2"/>
      <c r="I378" s="2"/>
      <c r="P378" s="58"/>
    </row>
    <row r="379" spans="2:16" ht="14.25" customHeight="1" x14ac:dyDescent="0.3">
      <c r="B379" s="57"/>
      <c r="C379" s="56"/>
      <c r="D379" s="2"/>
      <c r="F379" s="2"/>
      <c r="G379" s="2"/>
      <c r="H379" s="2"/>
      <c r="I379" s="2"/>
      <c r="P379" s="58"/>
    </row>
    <row r="380" spans="2:16" ht="14.25" customHeight="1" x14ac:dyDescent="0.3">
      <c r="B380" s="57"/>
      <c r="C380" s="56"/>
      <c r="D380" s="2"/>
      <c r="F380" s="2"/>
      <c r="G380" s="2"/>
      <c r="H380" s="2"/>
      <c r="I380" s="2"/>
      <c r="P380" s="58"/>
    </row>
    <row r="381" spans="2:16" ht="14.25" customHeight="1" x14ac:dyDescent="0.3">
      <c r="B381" s="57"/>
      <c r="C381" s="56"/>
      <c r="D381" s="2"/>
      <c r="F381" s="2"/>
      <c r="G381" s="2"/>
      <c r="H381" s="2"/>
      <c r="I381" s="2"/>
      <c r="P381" s="58"/>
    </row>
    <row r="382" spans="2:16" ht="14.25" customHeight="1" x14ac:dyDescent="0.3">
      <c r="B382" s="57"/>
      <c r="C382" s="56"/>
      <c r="D382" s="2"/>
      <c r="F382" s="2"/>
      <c r="G382" s="2"/>
      <c r="H382" s="2"/>
      <c r="I382" s="2"/>
      <c r="P382" s="58"/>
    </row>
    <row r="383" spans="2:16" ht="14.25" customHeight="1" x14ac:dyDescent="0.3">
      <c r="B383" s="57"/>
      <c r="C383" s="56"/>
      <c r="D383" s="2"/>
      <c r="F383" s="2"/>
      <c r="G383" s="2"/>
      <c r="H383" s="2"/>
      <c r="I383" s="2"/>
      <c r="P383" s="58"/>
    </row>
    <row r="384" spans="2:16" ht="14.25" customHeight="1" x14ac:dyDescent="0.3">
      <c r="B384" s="57"/>
      <c r="C384" s="56"/>
      <c r="D384" s="2"/>
      <c r="F384" s="2"/>
      <c r="G384" s="2"/>
      <c r="H384" s="2"/>
      <c r="I384" s="2"/>
      <c r="P384" s="58"/>
    </row>
    <row r="385" spans="2:16" ht="14.25" customHeight="1" x14ac:dyDescent="0.3">
      <c r="B385" s="57"/>
      <c r="C385" s="56"/>
      <c r="D385" s="2"/>
      <c r="F385" s="2"/>
      <c r="G385" s="2"/>
      <c r="H385" s="2"/>
      <c r="I385" s="2"/>
      <c r="P385" s="58"/>
    </row>
    <row r="386" spans="2:16" ht="14.25" customHeight="1" x14ac:dyDescent="0.3">
      <c r="B386" s="57"/>
      <c r="C386" s="56"/>
      <c r="D386" s="2"/>
      <c r="F386" s="2"/>
      <c r="G386" s="2"/>
      <c r="H386" s="2"/>
      <c r="I386" s="2"/>
      <c r="P386" s="58"/>
    </row>
    <row r="387" spans="2:16" ht="14.25" customHeight="1" x14ac:dyDescent="0.3">
      <c r="B387" s="57"/>
      <c r="C387" s="56"/>
      <c r="D387" s="2"/>
      <c r="F387" s="2"/>
      <c r="G387" s="2"/>
      <c r="H387" s="2"/>
      <c r="I387" s="2"/>
      <c r="P387" s="58"/>
    </row>
    <row r="388" spans="2:16" ht="14.25" customHeight="1" x14ac:dyDescent="0.3">
      <c r="B388" s="57"/>
      <c r="C388" s="56"/>
      <c r="D388" s="2"/>
      <c r="F388" s="2"/>
      <c r="G388" s="2"/>
      <c r="H388" s="2"/>
      <c r="I388" s="2"/>
      <c r="P388" s="58"/>
    </row>
    <row r="389" spans="2:16" ht="14.25" customHeight="1" x14ac:dyDescent="0.3">
      <c r="B389" s="57"/>
      <c r="C389" s="56"/>
      <c r="D389" s="2"/>
      <c r="F389" s="2"/>
      <c r="G389" s="2"/>
      <c r="H389" s="2"/>
      <c r="I389" s="2"/>
      <c r="P389" s="58"/>
    </row>
    <row r="390" spans="2:16" ht="14.25" customHeight="1" x14ac:dyDescent="0.3">
      <c r="B390" s="57"/>
      <c r="C390" s="56"/>
      <c r="D390" s="2"/>
      <c r="F390" s="2"/>
      <c r="G390" s="2"/>
      <c r="H390" s="2"/>
      <c r="I390" s="2"/>
      <c r="P390" s="58"/>
    </row>
    <row r="391" spans="2:16" ht="14.25" customHeight="1" x14ac:dyDescent="0.3">
      <c r="B391" s="57"/>
      <c r="C391" s="56"/>
      <c r="D391" s="2"/>
      <c r="F391" s="2"/>
      <c r="G391" s="2"/>
      <c r="H391" s="2"/>
      <c r="I391" s="2"/>
      <c r="P391" s="58"/>
    </row>
    <row r="392" spans="2:16" ht="14.25" customHeight="1" x14ac:dyDescent="0.3">
      <c r="B392" s="57"/>
      <c r="C392" s="56"/>
      <c r="D392" s="2"/>
      <c r="F392" s="2"/>
      <c r="G392" s="2"/>
      <c r="H392" s="2"/>
      <c r="I392" s="2"/>
      <c r="P392" s="58"/>
    </row>
    <row r="393" spans="2:16" ht="14.25" customHeight="1" x14ac:dyDescent="0.3">
      <c r="B393" s="57"/>
      <c r="C393" s="56"/>
      <c r="D393" s="2"/>
      <c r="F393" s="2"/>
      <c r="G393" s="2"/>
      <c r="H393" s="2"/>
      <c r="I393" s="2"/>
      <c r="P393" s="58"/>
    </row>
    <row r="394" spans="2:16" ht="14.25" customHeight="1" x14ac:dyDescent="0.3">
      <c r="B394" s="57"/>
      <c r="C394" s="56"/>
      <c r="D394" s="2"/>
      <c r="F394" s="2"/>
      <c r="G394" s="2"/>
      <c r="H394" s="2"/>
      <c r="I394" s="2"/>
      <c r="P394" s="58"/>
    </row>
    <row r="395" spans="2:16" ht="14.25" customHeight="1" x14ac:dyDescent="0.3">
      <c r="B395" s="57"/>
      <c r="C395" s="56"/>
      <c r="D395" s="2"/>
      <c r="F395" s="2"/>
      <c r="G395" s="2"/>
      <c r="H395" s="2"/>
      <c r="I395" s="2"/>
      <c r="P395" s="58"/>
    </row>
    <row r="396" spans="2:16" ht="14.25" customHeight="1" x14ac:dyDescent="0.3">
      <c r="B396" s="57"/>
      <c r="C396" s="56"/>
      <c r="D396" s="2"/>
      <c r="F396" s="2"/>
      <c r="G396" s="2"/>
      <c r="H396" s="2"/>
      <c r="I396" s="2"/>
      <c r="P396" s="58"/>
    </row>
    <row r="397" spans="2:16" ht="14.25" customHeight="1" x14ac:dyDescent="0.3">
      <c r="B397" s="57"/>
      <c r="C397" s="56"/>
      <c r="D397" s="2"/>
      <c r="F397" s="2"/>
      <c r="G397" s="2"/>
      <c r="H397" s="2"/>
      <c r="I397" s="2"/>
      <c r="P397" s="58"/>
    </row>
    <row r="398" spans="2:16" ht="14.25" customHeight="1" x14ac:dyDescent="0.3">
      <c r="B398" s="57"/>
      <c r="C398" s="56"/>
      <c r="D398" s="2"/>
      <c r="F398" s="2"/>
      <c r="G398" s="2"/>
      <c r="H398" s="2"/>
      <c r="I398" s="2"/>
      <c r="P398" s="58"/>
    </row>
    <row r="399" spans="2:16" ht="14.25" customHeight="1" x14ac:dyDescent="0.3">
      <c r="B399" s="57"/>
      <c r="C399" s="56"/>
      <c r="D399" s="2"/>
      <c r="F399" s="2"/>
      <c r="G399" s="2"/>
      <c r="H399" s="2"/>
      <c r="I399" s="2"/>
      <c r="P399" s="58"/>
    </row>
    <row r="400" spans="2:16" ht="14.25" customHeight="1" x14ac:dyDescent="0.3">
      <c r="B400" s="57"/>
      <c r="C400" s="56"/>
      <c r="D400" s="2"/>
      <c r="F400" s="2"/>
      <c r="G400" s="2"/>
      <c r="H400" s="2"/>
      <c r="I400" s="2"/>
      <c r="P400" s="58"/>
    </row>
    <row r="401" spans="2:16" ht="14.25" customHeight="1" x14ac:dyDescent="0.3">
      <c r="B401" s="57"/>
      <c r="C401" s="56"/>
      <c r="D401" s="2"/>
      <c r="F401" s="2"/>
      <c r="G401" s="2"/>
      <c r="H401" s="2"/>
      <c r="I401" s="2"/>
      <c r="P401" s="58"/>
    </row>
    <row r="402" spans="2:16" ht="14.25" customHeight="1" x14ac:dyDescent="0.3">
      <c r="B402" s="57"/>
      <c r="C402" s="56"/>
      <c r="D402" s="2"/>
      <c r="F402" s="2"/>
      <c r="G402" s="2"/>
      <c r="H402" s="2"/>
      <c r="I402" s="2"/>
      <c r="P402" s="58"/>
    </row>
    <row r="403" spans="2:16" ht="14.25" customHeight="1" x14ac:dyDescent="0.3">
      <c r="B403" s="57"/>
      <c r="C403" s="56"/>
      <c r="D403" s="2"/>
      <c r="F403" s="2"/>
      <c r="G403" s="2"/>
      <c r="H403" s="2"/>
      <c r="I403" s="2"/>
      <c r="P403" s="58"/>
    </row>
    <row r="404" spans="2:16" ht="14.25" customHeight="1" x14ac:dyDescent="0.3">
      <c r="B404" s="57"/>
      <c r="C404" s="56"/>
      <c r="D404" s="2"/>
      <c r="F404" s="2"/>
      <c r="G404" s="2"/>
      <c r="H404" s="2"/>
      <c r="I404" s="2"/>
      <c r="P404" s="58"/>
    </row>
    <row r="405" spans="2:16" ht="14.25" customHeight="1" x14ac:dyDescent="0.3">
      <c r="B405" s="57"/>
      <c r="C405" s="56"/>
      <c r="D405" s="2"/>
      <c r="F405" s="2"/>
      <c r="G405" s="2"/>
      <c r="H405" s="2"/>
      <c r="I405" s="2"/>
      <c r="P405" s="58"/>
    </row>
    <row r="406" spans="2:16" ht="14.25" customHeight="1" x14ac:dyDescent="0.3">
      <c r="B406" s="57"/>
      <c r="C406" s="56"/>
      <c r="D406" s="2"/>
      <c r="F406" s="2"/>
      <c r="G406" s="2"/>
      <c r="H406" s="2"/>
      <c r="I406" s="2"/>
      <c r="P406" s="58"/>
    </row>
    <row r="407" spans="2:16" ht="14.25" customHeight="1" x14ac:dyDescent="0.3">
      <c r="B407" s="57"/>
      <c r="C407" s="56"/>
      <c r="D407" s="2"/>
      <c r="F407" s="2"/>
      <c r="G407" s="2"/>
      <c r="H407" s="2"/>
      <c r="I407" s="2"/>
      <c r="P407" s="58"/>
    </row>
    <row r="408" spans="2:16" ht="14.25" customHeight="1" x14ac:dyDescent="0.3">
      <c r="B408" s="57"/>
      <c r="C408" s="56"/>
      <c r="D408" s="2"/>
      <c r="F408" s="2"/>
      <c r="G408" s="2"/>
      <c r="H408" s="2"/>
      <c r="I408" s="2"/>
      <c r="P408" s="58"/>
    </row>
    <row r="409" spans="2:16" ht="14.25" customHeight="1" x14ac:dyDescent="0.3">
      <c r="B409" s="57"/>
      <c r="C409" s="56"/>
      <c r="D409" s="2"/>
      <c r="F409" s="2"/>
      <c r="G409" s="2"/>
      <c r="H409" s="2"/>
      <c r="I409" s="2"/>
      <c r="P409" s="58"/>
    </row>
    <row r="410" spans="2:16" ht="14.25" customHeight="1" x14ac:dyDescent="0.3">
      <c r="B410" s="57"/>
      <c r="C410" s="56"/>
      <c r="D410" s="2"/>
      <c r="F410" s="2"/>
      <c r="G410" s="2"/>
      <c r="H410" s="2"/>
      <c r="I410" s="2"/>
      <c r="P410" s="58"/>
    </row>
    <row r="411" spans="2:16" ht="14.25" customHeight="1" x14ac:dyDescent="0.3">
      <c r="B411" s="57"/>
      <c r="C411" s="56"/>
      <c r="D411" s="2"/>
      <c r="F411" s="2"/>
      <c r="G411" s="2"/>
      <c r="H411" s="2"/>
      <c r="I411" s="2"/>
      <c r="P411" s="58"/>
    </row>
    <row r="412" spans="2:16" ht="14.25" customHeight="1" x14ac:dyDescent="0.3">
      <c r="B412" s="57"/>
      <c r="C412" s="56"/>
      <c r="D412" s="2"/>
      <c r="F412" s="2"/>
      <c r="G412" s="2"/>
      <c r="H412" s="2"/>
      <c r="I412" s="2"/>
      <c r="P412" s="58"/>
    </row>
    <row r="413" spans="2:16" ht="14.25" customHeight="1" x14ac:dyDescent="0.3">
      <c r="B413" s="57"/>
      <c r="C413" s="56"/>
      <c r="D413" s="2"/>
      <c r="F413" s="2"/>
      <c r="G413" s="2"/>
      <c r="H413" s="2"/>
      <c r="I413" s="2"/>
      <c r="P413" s="58"/>
    </row>
    <row r="414" spans="2:16" ht="14.25" customHeight="1" x14ac:dyDescent="0.3">
      <c r="B414" s="57"/>
      <c r="C414" s="56"/>
      <c r="D414" s="2"/>
      <c r="F414" s="2"/>
      <c r="G414" s="2"/>
      <c r="H414" s="2"/>
      <c r="I414" s="2"/>
      <c r="P414" s="58"/>
    </row>
    <row r="415" spans="2:16" ht="14.25" customHeight="1" x14ac:dyDescent="0.3">
      <c r="B415" s="57"/>
      <c r="C415" s="56"/>
      <c r="D415" s="2"/>
      <c r="F415" s="2"/>
      <c r="G415" s="2"/>
      <c r="H415" s="2"/>
      <c r="I415" s="2"/>
      <c r="P415" s="58"/>
    </row>
    <row r="416" spans="2:16" ht="14.25" customHeight="1" x14ac:dyDescent="0.3">
      <c r="B416" s="57"/>
      <c r="C416" s="56"/>
      <c r="D416" s="2"/>
      <c r="F416" s="2"/>
      <c r="G416" s="2"/>
      <c r="H416" s="2"/>
      <c r="I416" s="2"/>
      <c r="P416" s="58"/>
    </row>
    <row r="417" spans="2:16" ht="14.25" customHeight="1" x14ac:dyDescent="0.3">
      <c r="B417" s="57"/>
      <c r="C417" s="56"/>
      <c r="D417" s="2"/>
      <c r="F417" s="2"/>
      <c r="G417" s="2"/>
      <c r="H417" s="2"/>
      <c r="I417" s="2"/>
      <c r="P417" s="58"/>
    </row>
    <row r="418" spans="2:16" ht="14.25" customHeight="1" x14ac:dyDescent="0.3">
      <c r="B418" s="57"/>
      <c r="C418" s="56"/>
      <c r="D418" s="2"/>
      <c r="F418" s="2"/>
      <c r="G418" s="2"/>
      <c r="H418" s="2"/>
      <c r="I418" s="2"/>
      <c r="P418" s="58"/>
    </row>
    <row r="419" spans="2:16" ht="14.25" customHeight="1" x14ac:dyDescent="0.3">
      <c r="B419" s="57"/>
      <c r="C419" s="56"/>
      <c r="D419" s="2"/>
      <c r="F419" s="2"/>
      <c r="G419" s="2"/>
      <c r="H419" s="2"/>
      <c r="I419" s="2"/>
      <c r="P419" s="58"/>
    </row>
    <row r="420" spans="2:16" ht="14.25" customHeight="1" x14ac:dyDescent="0.3">
      <c r="B420" s="57"/>
      <c r="C420" s="56"/>
      <c r="D420" s="2"/>
      <c r="F420" s="2"/>
      <c r="G420" s="2"/>
      <c r="H420" s="2"/>
      <c r="I420" s="2"/>
      <c r="P420" s="58"/>
    </row>
    <row r="421" spans="2:16" ht="14.25" customHeight="1" x14ac:dyDescent="0.3">
      <c r="B421" s="57"/>
      <c r="C421" s="56"/>
      <c r="D421" s="2"/>
      <c r="F421" s="2"/>
      <c r="G421" s="2"/>
      <c r="H421" s="2"/>
      <c r="I421" s="2"/>
      <c r="P421" s="58"/>
    </row>
    <row r="422" spans="2:16" ht="14.25" customHeight="1" x14ac:dyDescent="0.3">
      <c r="B422" s="57"/>
      <c r="C422" s="56"/>
      <c r="D422" s="2"/>
      <c r="F422" s="2"/>
      <c r="G422" s="2"/>
      <c r="H422" s="2"/>
      <c r="I422" s="2"/>
      <c r="P422" s="58"/>
    </row>
    <row r="423" spans="2:16" ht="14.25" customHeight="1" x14ac:dyDescent="0.3">
      <c r="B423" s="57"/>
      <c r="C423" s="56"/>
      <c r="D423" s="2"/>
      <c r="F423" s="2"/>
      <c r="G423" s="2"/>
      <c r="H423" s="2"/>
      <c r="I423" s="2"/>
      <c r="P423" s="58"/>
    </row>
    <row r="424" spans="2:16" ht="14.25" customHeight="1" x14ac:dyDescent="0.3">
      <c r="B424" s="57"/>
      <c r="C424" s="56"/>
      <c r="D424" s="2"/>
      <c r="F424" s="2"/>
      <c r="G424" s="2"/>
      <c r="H424" s="2"/>
      <c r="I424" s="2"/>
      <c r="P424" s="58"/>
    </row>
    <row r="425" spans="2:16" ht="14.25" customHeight="1" x14ac:dyDescent="0.3">
      <c r="B425" s="57"/>
      <c r="C425" s="56"/>
      <c r="D425" s="2"/>
      <c r="F425" s="2"/>
      <c r="G425" s="2"/>
      <c r="H425" s="2"/>
      <c r="I425" s="2"/>
      <c r="P425" s="58"/>
    </row>
    <row r="426" spans="2:16" ht="14.25" customHeight="1" x14ac:dyDescent="0.3">
      <c r="B426" s="57"/>
      <c r="C426" s="56"/>
      <c r="D426" s="2"/>
      <c r="F426" s="2"/>
      <c r="G426" s="2"/>
      <c r="H426" s="2"/>
      <c r="I426" s="2"/>
      <c r="P426" s="58"/>
    </row>
    <row r="427" spans="2:16" ht="14.25" customHeight="1" x14ac:dyDescent="0.3">
      <c r="B427" s="57"/>
      <c r="C427" s="56"/>
      <c r="D427" s="2"/>
      <c r="F427" s="2"/>
      <c r="G427" s="2"/>
      <c r="H427" s="2"/>
      <c r="I427" s="2"/>
      <c r="P427" s="58"/>
    </row>
    <row r="428" spans="2:16" ht="14.25" customHeight="1" x14ac:dyDescent="0.3">
      <c r="B428" s="57"/>
      <c r="C428" s="56"/>
      <c r="D428" s="2"/>
      <c r="F428" s="2"/>
      <c r="G428" s="2"/>
      <c r="H428" s="2"/>
      <c r="I428" s="2"/>
      <c r="P428" s="58"/>
    </row>
    <row r="429" spans="2:16" ht="14.25" customHeight="1" x14ac:dyDescent="0.3">
      <c r="B429" s="57"/>
      <c r="C429" s="56"/>
      <c r="D429" s="2"/>
      <c r="F429" s="2"/>
      <c r="G429" s="2"/>
      <c r="H429" s="2"/>
      <c r="I429" s="2"/>
      <c r="P429" s="58"/>
    </row>
    <row r="430" spans="2:16" ht="14.25" customHeight="1" x14ac:dyDescent="0.3">
      <c r="B430" s="57"/>
      <c r="C430" s="56"/>
      <c r="D430" s="2"/>
      <c r="F430" s="2"/>
      <c r="G430" s="2"/>
      <c r="H430" s="2"/>
      <c r="I430" s="2"/>
      <c r="P430" s="58"/>
    </row>
    <row r="431" spans="2:16" ht="14.25" customHeight="1" x14ac:dyDescent="0.3">
      <c r="B431" s="57"/>
      <c r="C431" s="56"/>
      <c r="D431" s="2"/>
      <c r="F431" s="2"/>
      <c r="G431" s="2"/>
      <c r="H431" s="2"/>
      <c r="I431" s="2"/>
      <c r="P431" s="58"/>
    </row>
    <row r="432" spans="2:16" ht="14.25" customHeight="1" x14ac:dyDescent="0.3">
      <c r="B432" s="57"/>
      <c r="C432" s="56"/>
      <c r="D432" s="2"/>
      <c r="F432" s="2"/>
      <c r="G432" s="2"/>
      <c r="H432" s="2"/>
      <c r="I432" s="2"/>
      <c r="P432" s="58"/>
    </row>
    <row r="433" spans="2:16" ht="14.25" customHeight="1" x14ac:dyDescent="0.3">
      <c r="B433" s="57"/>
      <c r="C433" s="56"/>
      <c r="D433" s="2"/>
      <c r="F433" s="2"/>
      <c r="G433" s="2"/>
      <c r="H433" s="2"/>
      <c r="I433" s="2"/>
      <c r="P433" s="58"/>
    </row>
    <row r="434" spans="2:16" ht="14.25" customHeight="1" x14ac:dyDescent="0.3">
      <c r="B434" s="57"/>
      <c r="C434" s="56"/>
      <c r="D434" s="2"/>
      <c r="F434" s="2"/>
      <c r="G434" s="2"/>
      <c r="H434" s="2"/>
      <c r="I434" s="2"/>
      <c r="P434" s="58"/>
    </row>
    <row r="435" spans="2:16" ht="14.25" customHeight="1" x14ac:dyDescent="0.3">
      <c r="B435" s="57"/>
      <c r="C435" s="56"/>
      <c r="D435" s="2"/>
      <c r="F435" s="2"/>
      <c r="G435" s="2"/>
      <c r="H435" s="2"/>
      <c r="I435" s="2"/>
      <c r="P435" s="58"/>
    </row>
    <row r="436" spans="2:16" ht="14.25" customHeight="1" x14ac:dyDescent="0.3">
      <c r="B436" s="57"/>
      <c r="C436" s="56"/>
      <c r="D436" s="2"/>
      <c r="F436" s="2"/>
      <c r="G436" s="2"/>
      <c r="H436" s="2"/>
      <c r="I436" s="2"/>
      <c r="P436" s="58"/>
    </row>
    <row r="437" spans="2:16" ht="14.25" customHeight="1" x14ac:dyDescent="0.3">
      <c r="B437" s="57"/>
      <c r="C437" s="56"/>
      <c r="D437" s="2"/>
      <c r="F437" s="2"/>
      <c r="G437" s="2"/>
      <c r="H437" s="2"/>
      <c r="I437" s="2"/>
      <c r="P437" s="58"/>
    </row>
    <row r="438" spans="2:16" ht="14.25" customHeight="1" x14ac:dyDescent="0.3">
      <c r="B438" s="57"/>
      <c r="C438" s="56"/>
      <c r="D438" s="2"/>
      <c r="F438" s="2"/>
      <c r="G438" s="2"/>
      <c r="H438" s="2"/>
      <c r="I438" s="2"/>
      <c r="P438" s="58"/>
    </row>
    <row r="439" spans="2:16" ht="14.25" customHeight="1" x14ac:dyDescent="0.3">
      <c r="B439" s="57"/>
      <c r="C439" s="56"/>
      <c r="D439" s="2"/>
      <c r="F439" s="2"/>
      <c r="G439" s="2"/>
      <c r="H439" s="2"/>
      <c r="I439" s="2"/>
      <c r="P439" s="58"/>
    </row>
    <row r="440" spans="2:16" ht="14.25" customHeight="1" x14ac:dyDescent="0.3">
      <c r="B440" s="57"/>
      <c r="C440" s="56"/>
      <c r="D440" s="2"/>
      <c r="F440" s="2"/>
      <c r="G440" s="2"/>
      <c r="H440" s="2"/>
      <c r="I440" s="2"/>
      <c r="P440" s="58"/>
    </row>
    <row r="441" spans="2:16" ht="14.25" customHeight="1" x14ac:dyDescent="0.3">
      <c r="B441" s="57"/>
      <c r="C441" s="56"/>
      <c r="D441" s="2"/>
      <c r="F441" s="2"/>
      <c r="G441" s="2"/>
      <c r="H441" s="2"/>
      <c r="I441" s="2"/>
      <c r="P441" s="58"/>
    </row>
    <row r="442" spans="2:16" ht="14.25" customHeight="1" x14ac:dyDescent="0.3">
      <c r="B442" s="57"/>
      <c r="C442" s="56"/>
      <c r="D442" s="2"/>
      <c r="F442" s="2"/>
      <c r="G442" s="2"/>
      <c r="H442" s="2"/>
      <c r="I442" s="2"/>
      <c r="P442" s="58"/>
    </row>
    <row r="443" spans="2:16" ht="14.25" customHeight="1" x14ac:dyDescent="0.3">
      <c r="B443" s="57"/>
      <c r="C443" s="56"/>
      <c r="D443" s="2"/>
      <c r="F443" s="2"/>
      <c r="G443" s="2"/>
      <c r="H443" s="2"/>
      <c r="I443" s="2"/>
      <c r="P443" s="58"/>
    </row>
    <row r="444" spans="2:16" ht="14.25" customHeight="1" x14ac:dyDescent="0.3">
      <c r="B444" s="57"/>
      <c r="C444" s="56"/>
      <c r="D444" s="2"/>
      <c r="F444" s="2"/>
      <c r="G444" s="2"/>
      <c r="H444" s="2"/>
      <c r="I444" s="2"/>
      <c r="P444" s="58"/>
    </row>
    <row r="445" spans="2:16" ht="14.25" customHeight="1" x14ac:dyDescent="0.3">
      <c r="B445" s="57"/>
      <c r="C445" s="56"/>
      <c r="D445" s="2"/>
      <c r="F445" s="2"/>
      <c r="G445" s="2"/>
      <c r="H445" s="2"/>
      <c r="I445" s="2"/>
      <c r="P445" s="58"/>
    </row>
    <row r="446" spans="2:16" ht="14.25" customHeight="1" x14ac:dyDescent="0.3">
      <c r="B446" s="57"/>
      <c r="C446" s="56"/>
      <c r="D446" s="2"/>
      <c r="F446" s="2"/>
      <c r="G446" s="2"/>
      <c r="H446" s="2"/>
      <c r="I446" s="2"/>
      <c r="P446" s="58"/>
    </row>
    <row r="447" spans="2:16" ht="14.25" customHeight="1" x14ac:dyDescent="0.3">
      <c r="B447" s="57"/>
      <c r="C447" s="56"/>
      <c r="D447" s="2"/>
      <c r="F447" s="2"/>
      <c r="G447" s="2"/>
      <c r="H447" s="2"/>
      <c r="I447" s="2"/>
      <c r="P447" s="58"/>
    </row>
    <row r="448" spans="2:16" ht="14.25" customHeight="1" x14ac:dyDescent="0.3">
      <c r="B448" s="57"/>
      <c r="C448" s="56"/>
      <c r="D448" s="2"/>
      <c r="F448" s="2"/>
      <c r="G448" s="2"/>
      <c r="H448" s="2"/>
      <c r="I448" s="2"/>
      <c r="P448" s="58"/>
    </row>
    <row r="449" spans="2:16" ht="14.25" customHeight="1" x14ac:dyDescent="0.3">
      <c r="B449" s="57"/>
      <c r="C449" s="56"/>
      <c r="D449" s="2"/>
      <c r="F449" s="2"/>
      <c r="G449" s="2"/>
      <c r="H449" s="2"/>
      <c r="I449" s="2"/>
      <c r="P449" s="58"/>
    </row>
    <row r="450" spans="2:16" ht="14.25" customHeight="1" x14ac:dyDescent="0.3">
      <c r="B450" s="57"/>
      <c r="C450" s="56"/>
      <c r="D450" s="2"/>
      <c r="F450" s="2"/>
      <c r="G450" s="2"/>
      <c r="H450" s="2"/>
      <c r="I450" s="2"/>
      <c r="P450" s="58"/>
    </row>
    <row r="451" spans="2:16" ht="14.25" customHeight="1" x14ac:dyDescent="0.3">
      <c r="B451" s="57"/>
      <c r="C451" s="56"/>
      <c r="D451" s="2"/>
      <c r="F451" s="2"/>
      <c r="G451" s="2"/>
      <c r="H451" s="2"/>
      <c r="I451" s="2"/>
      <c r="P451" s="58"/>
    </row>
    <row r="452" spans="2:16" ht="14.25" customHeight="1" x14ac:dyDescent="0.3">
      <c r="B452" s="57"/>
      <c r="C452" s="56"/>
      <c r="D452" s="2"/>
      <c r="F452" s="2"/>
      <c r="G452" s="2"/>
      <c r="H452" s="2"/>
      <c r="I452" s="2"/>
      <c r="P452" s="58"/>
    </row>
    <row r="453" spans="2:16" ht="14.25" customHeight="1" x14ac:dyDescent="0.3">
      <c r="B453" s="57"/>
      <c r="C453" s="56"/>
      <c r="D453" s="2"/>
      <c r="F453" s="2"/>
      <c r="G453" s="2"/>
      <c r="H453" s="2"/>
      <c r="I453" s="2"/>
      <c r="P453" s="58"/>
    </row>
    <row r="454" spans="2:16" ht="14.25" customHeight="1" x14ac:dyDescent="0.3">
      <c r="B454" s="57"/>
      <c r="C454" s="56"/>
      <c r="D454" s="2"/>
      <c r="F454" s="2"/>
      <c r="G454" s="2"/>
      <c r="H454" s="2"/>
      <c r="I454" s="2"/>
      <c r="P454" s="58"/>
    </row>
    <row r="455" spans="2:16" ht="14.25" customHeight="1" x14ac:dyDescent="0.3">
      <c r="B455" s="57"/>
      <c r="C455" s="56"/>
      <c r="D455" s="2"/>
      <c r="F455" s="2"/>
      <c r="G455" s="2"/>
      <c r="H455" s="2"/>
      <c r="I455" s="2"/>
      <c r="P455" s="58"/>
    </row>
    <row r="456" spans="2:16" ht="14.25" customHeight="1" x14ac:dyDescent="0.3">
      <c r="B456" s="57"/>
      <c r="C456" s="56"/>
      <c r="D456" s="2"/>
      <c r="F456" s="2"/>
      <c r="G456" s="2"/>
      <c r="H456" s="2"/>
      <c r="I456" s="2"/>
      <c r="P456" s="58"/>
    </row>
    <row r="457" spans="2:16" ht="14.25" customHeight="1" x14ac:dyDescent="0.3">
      <c r="B457" s="57"/>
      <c r="C457" s="56"/>
      <c r="D457" s="2"/>
      <c r="F457" s="2"/>
      <c r="G457" s="2"/>
      <c r="H457" s="2"/>
      <c r="I457" s="2"/>
      <c r="P457" s="58"/>
    </row>
    <row r="458" spans="2:16" ht="14.25" customHeight="1" x14ac:dyDescent="0.3">
      <c r="B458" s="57"/>
      <c r="C458" s="56"/>
      <c r="D458" s="2"/>
      <c r="F458" s="2"/>
      <c r="G458" s="2"/>
      <c r="H458" s="2"/>
      <c r="I458" s="2"/>
      <c r="P458" s="58"/>
    </row>
    <row r="459" spans="2:16" ht="14.25" customHeight="1" x14ac:dyDescent="0.3">
      <c r="B459" s="57"/>
      <c r="C459" s="56"/>
      <c r="D459" s="2"/>
      <c r="F459" s="2"/>
      <c r="G459" s="2"/>
      <c r="H459" s="2"/>
      <c r="I459" s="2"/>
      <c r="P459" s="58"/>
    </row>
    <row r="460" spans="2:16" ht="14.25" customHeight="1" x14ac:dyDescent="0.3">
      <c r="B460" s="57"/>
      <c r="C460" s="56"/>
      <c r="D460" s="2"/>
      <c r="F460" s="2"/>
      <c r="G460" s="2"/>
      <c r="H460" s="2"/>
      <c r="I460" s="2"/>
      <c r="P460" s="58"/>
    </row>
    <row r="461" spans="2:16" ht="14.25" customHeight="1" x14ac:dyDescent="0.3">
      <c r="B461" s="57"/>
      <c r="C461" s="56"/>
      <c r="D461" s="2"/>
      <c r="F461" s="2"/>
      <c r="G461" s="2"/>
      <c r="H461" s="2"/>
      <c r="I461" s="2"/>
      <c r="P461" s="58"/>
    </row>
    <row r="462" spans="2:16" ht="14.25" customHeight="1" x14ac:dyDescent="0.3">
      <c r="B462" s="57"/>
      <c r="C462" s="56"/>
      <c r="D462" s="2"/>
      <c r="F462" s="2"/>
      <c r="G462" s="2"/>
      <c r="H462" s="2"/>
      <c r="I462" s="2"/>
      <c r="P462" s="58"/>
    </row>
    <row r="463" spans="2:16" ht="14.25" customHeight="1" x14ac:dyDescent="0.3">
      <c r="B463" s="57"/>
      <c r="C463" s="56"/>
      <c r="D463" s="2"/>
      <c r="F463" s="2"/>
      <c r="G463" s="2"/>
      <c r="H463" s="2"/>
      <c r="I463" s="2"/>
      <c r="P463" s="58"/>
    </row>
    <row r="464" spans="2:16" ht="14.25" customHeight="1" x14ac:dyDescent="0.3">
      <c r="B464" s="57"/>
      <c r="C464" s="56"/>
      <c r="D464" s="2"/>
      <c r="F464" s="2"/>
      <c r="G464" s="2"/>
      <c r="H464" s="2"/>
      <c r="I464" s="2"/>
      <c r="P464" s="58"/>
    </row>
    <row r="465" spans="2:16" ht="14.25" customHeight="1" x14ac:dyDescent="0.3">
      <c r="B465" s="57"/>
      <c r="C465" s="56"/>
      <c r="D465" s="2"/>
      <c r="F465" s="2"/>
      <c r="G465" s="2"/>
      <c r="H465" s="2"/>
      <c r="I465" s="2"/>
      <c r="P465" s="58"/>
    </row>
    <row r="466" spans="2:16" ht="14.25" customHeight="1" x14ac:dyDescent="0.3">
      <c r="B466" s="57"/>
      <c r="C466" s="56"/>
      <c r="D466" s="2"/>
      <c r="F466" s="2"/>
      <c r="G466" s="2"/>
      <c r="H466" s="2"/>
      <c r="I466" s="2"/>
      <c r="P466" s="58"/>
    </row>
    <row r="467" spans="2:16" ht="14.25" customHeight="1" x14ac:dyDescent="0.3">
      <c r="B467" s="57"/>
      <c r="C467" s="56"/>
      <c r="D467" s="2"/>
      <c r="F467" s="2"/>
      <c r="G467" s="2"/>
      <c r="H467" s="2"/>
      <c r="I467" s="2"/>
      <c r="P467" s="58"/>
    </row>
    <row r="468" spans="2:16" ht="14.25" customHeight="1" x14ac:dyDescent="0.3">
      <c r="B468" s="57"/>
      <c r="C468" s="56"/>
      <c r="D468" s="2"/>
      <c r="F468" s="2"/>
      <c r="G468" s="2"/>
      <c r="H468" s="2"/>
      <c r="I468" s="2"/>
      <c r="P468" s="58"/>
    </row>
    <row r="469" spans="2:16" ht="14.25" customHeight="1" x14ac:dyDescent="0.3">
      <c r="B469" s="57"/>
      <c r="C469" s="56"/>
      <c r="D469" s="2"/>
      <c r="F469" s="2"/>
      <c r="G469" s="2"/>
      <c r="H469" s="2"/>
      <c r="I469" s="2"/>
      <c r="P469" s="58"/>
    </row>
    <row r="470" spans="2:16" ht="14.25" customHeight="1" x14ac:dyDescent="0.3">
      <c r="B470" s="57"/>
      <c r="C470" s="56"/>
      <c r="D470" s="2"/>
      <c r="F470" s="2"/>
      <c r="G470" s="2"/>
      <c r="H470" s="2"/>
      <c r="I470" s="2"/>
      <c r="P470" s="58"/>
    </row>
    <row r="471" spans="2:16" ht="14.25" customHeight="1" x14ac:dyDescent="0.3">
      <c r="B471" s="57"/>
      <c r="C471" s="56"/>
      <c r="D471" s="2"/>
      <c r="F471" s="2"/>
      <c r="G471" s="2"/>
      <c r="H471" s="2"/>
      <c r="I471" s="2"/>
      <c r="P471" s="58"/>
    </row>
    <row r="472" spans="2:16" ht="14.25" customHeight="1" x14ac:dyDescent="0.3">
      <c r="B472" s="57"/>
      <c r="C472" s="56"/>
      <c r="D472" s="2"/>
      <c r="F472" s="2"/>
      <c r="G472" s="2"/>
      <c r="H472" s="2"/>
      <c r="I472" s="2"/>
      <c r="P472" s="58"/>
    </row>
    <row r="473" spans="2:16" ht="14.25" customHeight="1" x14ac:dyDescent="0.3">
      <c r="B473" s="57"/>
      <c r="C473" s="56"/>
      <c r="D473" s="2"/>
      <c r="F473" s="2"/>
      <c r="G473" s="2"/>
      <c r="H473" s="2"/>
      <c r="I473" s="2"/>
      <c r="P473" s="58"/>
    </row>
    <row r="474" spans="2:16" ht="14.25" customHeight="1" x14ac:dyDescent="0.3">
      <c r="B474" s="57"/>
      <c r="C474" s="56"/>
      <c r="D474" s="2"/>
      <c r="F474" s="2"/>
      <c r="G474" s="2"/>
      <c r="H474" s="2"/>
      <c r="I474" s="2"/>
      <c r="P474" s="58"/>
    </row>
    <row r="475" spans="2:16" ht="14.25" customHeight="1" x14ac:dyDescent="0.3">
      <c r="B475" s="57"/>
      <c r="C475" s="56"/>
      <c r="D475" s="2"/>
      <c r="F475" s="2"/>
      <c r="G475" s="2"/>
      <c r="H475" s="2"/>
      <c r="I475" s="2"/>
      <c r="P475" s="58"/>
    </row>
    <row r="476" spans="2:16" ht="14.25" customHeight="1" x14ac:dyDescent="0.3">
      <c r="B476" s="57"/>
      <c r="C476" s="56"/>
      <c r="D476" s="2"/>
      <c r="F476" s="2"/>
      <c r="G476" s="2"/>
      <c r="H476" s="2"/>
      <c r="I476" s="2"/>
      <c r="P476" s="58"/>
    </row>
    <row r="477" spans="2:16" ht="14.25" customHeight="1" x14ac:dyDescent="0.3">
      <c r="B477" s="57"/>
      <c r="C477" s="56"/>
      <c r="D477" s="2"/>
      <c r="F477" s="2"/>
      <c r="G477" s="2"/>
      <c r="H477" s="2"/>
      <c r="I477" s="2"/>
      <c r="P477" s="58"/>
    </row>
    <row r="478" spans="2:16" ht="14.25" customHeight="1" x14ac:dyDescent="0.3">
      <c r="B478" s="57"/>
      <c r="C478" s="56"/>
      <c r="D478" s="2"/>
      <c r="F478" s="2"/>
      <c r="G478" s="2"/>
      <c r="H478" s="2"/>
      <c r="I478" s="2"/>
      <c r="P478" s="58"/>
    </row>
    <row r="479" spans="2:16" ht="14.25" customHeight="1" x14ac:dyDescent="0.3">
      <c r="B479" s="57"/>
      <c r="C479" s="56"/>
      <c r="D479" s="2"/>
      <c r="F479" s="2"/>
      <c r="G479" s="2"/>
      <c r="H479" s="2"/>
      <c r="I479" s="2"/>
      <c r="P479" s="58"/>
    </row>
    <row r="480" spans="2:16" ht="14.25" customHeight="1" x14ac:dyDescent="0.3">
      <c r="B480" s="57"/>
      <c r="C480" s="56"/>
      <c r="D480" s="2"/>
      <c r="F480" s="2"/>
      <c r="G480" s="2"/>
      <c r="H480" s="2"/>
      <c r="I480" s="2"/>
      <c r="P480" s="58"/>
    </row>
    <row r="481" spans="2:16" ht="14.25" customHeight="1" x14ac:dyDescent="0.3">
      <c r="B481" s="57"/>
      <c r="C481" s="56"/>
      <c r="D481" s="2"/>
      <c r="F481" s="2"/>
      <c r="G481" s="2"/>
      <c r="H481" s="2"/>
      <c r="I481" s="2"/>
      <c r="P481" s="58"/>
    </row>
    <row r="482" spans="2:16" ht="14.25" customHeight="1" x14ac:dyDescent="0.3">
      <c r="B482" s="57"/>
      <c r="C482" s="56"/>
      <c r="D482" s="2"/>
      <c r="F482" s="2"/>
      <c r="G482" s="2"/>
      <c r="H482" s="2"/>
      <c r="I482" s="2"/>
      <c r="P482" s="58"/>
    </row>
    <row r="483" spans="2:16" ht="14.25" customHeight="1" x14ac:dyDescent="0.3">
      <c r="B483" s="57"/>
      <c r="C483" s="56"/>
      <c r="D483" s="2"/>
      <c r="F483" s="2"/>
      <c r="G483" s="2"/>
      <c r="H483" s="2"/>
      <c r="I483" s="2"/>
      <c r="P483" s="58"/>
    </row>
    <row r="484" spans="2:16" ht="14.25" customHeight="1" x14ac:dyDescent="0.3">
      <c r="B484" s="57"/>
      <c r="C484" s="56"/>
      <c r="D484" s="2"/>
      <c r="F484" s="2"/>
      <c r="G484" s="2"/>
      <c r="H484" s="2"/>
      <c r="I484" s="2"/>
      <c r="P484" s="58"/>
    </row>
    <row r="485" spans="2:16" ht="14.25" customHeight="1" x14ac:dyDescent="0.3">
      <c r="B485" s="57"/>
      <c r="C485" s="56"/>
      <c r="D485" s="2"/>
      <c r="F485" s="2"/>
      <c r="G485" s="2"/>
      <c r="H485" s="2"/>
      <c r="I485" s="2"/>
      <c r="P485" s="58"/>
    </row>
    <row r="486" spans="2:16" ht="14.25" customHeight="1" x14ac:dyDescent="0.3">
      <c r="B486" s="57"/>
      <c r="C486" s="56"/>
      <c r="D486" s="2"/>
      <c r="F486" s="2"/>
      <c r="G486" s="2"/>
      <c r="H486" s="2"/>
      <c r="I486" s="2"/>
      <c r="P486" s="58"/>
    </row>
    <row r="487" spans="2:16" ht="14.25" customHeight="1" x14ac:dyDescent="0.3">
      <c r="B487" s="57"/>
      <c r="C487" s="56"/>
      <c r="D487" s="2"/>
      <c r="F487" s="2"/>
      <c r="G487" s="2"/>
      <c r="H487" s="2"/>
      <c r="I487" s="2"/>
      <c r="P487" s="58"/>
    </row>
    <row r="488" spans="2:16" ht="14.25" customHeight="1" x14ac:dyDescent="0.3">
      <c r="B488" s="57"/>
      <c r="C488" s="56"/>
      <c r="D488" s="2"/>
      <c r="F488" s="2"/>
      <c r="G488" s="2"/>
      <c r="H488" s="2"/>
      <c r="I488" s="2"/>
      <c r="P488" s="58"/>
    </row>
    <row r="489" spans="2:16" ht="14.25" customHeight="1" x14ac:dyDescent="0.3">
      <c r="B489" s="57"/>
      <c r="C489" s="56"/>
      <c r="D489" s="2"/>
      <c r="F489" s="2"/>
      <c r="G489" s="2"/>
      <c r="H489" s="2"/>
      <c r="I489" s="2"/>
      <c r="P489" s="58"/>
    </row>
    <row r="490" spans="2:16" ht="14.25" customHeight="1" x14ac:dyDescent="0.3">
      <c r="B490" s="57"/>
      <c r="C490" s="56"/>
      <c r="D490" s="2"/>
      <c r="F490" s="2"/>
      <c r="G490" s="2"/>
      <c r="H490" s="2"/>
      <c r="I490" s="2"/>
      <c r="P490" s="58"/>
    </row>
    <row r="491" spans="2:16" ht="14.25" customHeight="1" x14ac:dyDescent="0.3">
      <c r="B491" s="57"/>
      <c r="C491" s="56"/>
      <c r="D491" s="2"/>
      <c r="F491" s="2"/>
      <c r="G491" s="2"/>
      <c r="H491" s="2"/>
      <c r="I491" s="2"/>
      <c r="P491" s="58"/>
    </row>
    <row r="492" spans="2:16" ht="14.25" customHeight="1" x14ac:dyDescent="0.3">
      <c r="B492" s="57"/>
      <c r="C492" s="56"/>
      <c r="D492" s="2"/>
      <c r="F492" s="2"/>
      <c r="G492" s="2"/>
      <c r="H492" s="2"/>
      <c r="I492" s="2"/>
      <c r="P492" s="58"/>
    </row>
    <row r="493" spans="2:16" ht="14.25" customHeight="1" x14ac:dyDescent="0.3">
      <c r="B493" s="57"/>
      <c r="C493" s="56"/>
      <c r="D493" s="2"/>
      <c r="F493" s="2"/>
      <c r="G493" s="2"/>
      <c r="H493" s="2"/>
      <c r="I493" s="2"/>
      <c r="P493" s="58"/>
    </row>
    <row r="494" spans="2:16" ht="14.25" customHeight="1" x14ac:dyDescent="0.3">
      <c r="B494" s="57"/>
      <c r="C494" s="56"/>
      <c r="D494" s="2"/>
      <c r="F494" s="2"/>
      <c r="G494" s="2"/>
      <c r="H494" s="2"/>
      <c r="I494" s="2"/>
      <c r="P494" s="58"/>
    </row>
    <row r="495" spans="2:16" ht="14.25" customHeight="1" x14ac:dyDescent="0.3">
      <c r="B495" s="57"/>
      <c r="C495" s="56"/>
      <c r="D495" s="2"/>
      <c r="F495" s="2"/>
      <c r="G495" s="2"/>
      <c r="H495" s="2"/>
      <c r="I495" s="2"/>
      <c r="P495" s="58"/>
    </row>
    <row r="496" spans="2:16" ht="14.25" customHeight="1" x14ac:dyDescent="0.3">
      <c r="B496" s="57"/>
      <c r="C496" s="56"/>
      <c r="D496" s="2"/>
      <c r="F496" s="2"/>
      <c r="G496" s="2"/>
      <c r="H496" s="2"/>
      <c r="I496" s="2"/>
      <c r="P496" s="58"/>
    </row>
    <row r="497" spans="2:16" ht="14.25" customHeight="1" x14ac:dyDescent="0.3">
      <c r="B497" s="57"/>
      <c r="C497" s="56"/>
      <c r="D497" s="2"/>
      <c r="F497" s="2"/>
      <c r="G497" s="2"/>
      <c r="H497" s="2"/>
      <c r="I497" s="2"/>
      <c r="P497" s="58"/>
    </row>
    <row r="498" spans="2:16" ht="14.25" customHeight="1" x14ac:dyDescent="0.3">
      <c r="B498" s="57"/>
      <c r="C498" s="56"/>
      <c r="D498" s="2"/>
      <c r="F498" s="2"/>
      <c r="G498" s="2"/>
      <c r="H498" s="2"/>
      <c r="I498" s="2"/>
      <c r="P498" s="58"/>
    </row>
    <row r="499" spans="2:16" ht="14.25" customHeight="1" x14ac:dyDescent="0.3">
      <c r="B499" s="57"/>
      <c r="C499" s="56"/>
      <c r="D499" s="2"/>
      <c r="F499" s="2"/>
      <c r="G499" s="2"/>
      <c r="H499" s="2"/>
      <c r="I499" s="2"/>
      <c r="P499" s="58"/>
    </row>
    <row r="500" spans="2:16" ht="14.25" customHeight="1" x14ac:dyDescent="0.3">
      <c r="B500" s="57"/>
      <c r="C500" s="56"/>
      <c r="D500" s="2"/>
      <c r="F500" s="2"/>
      <c r="G500" s="2"/>
      <c r="H500" s="2"/>
      <c r="I500" s="2"/>
      <c r="P500" s="58"/>
    </row>
    <row r="501" spans="2:16" ht="14.25" customHeight="1" x14ac:dyDescent="0.3">
      <c r="B501" s="57"/>
      <c r="C501" s="56"/>
      <c r="D501" s="2"/>
      <c r="F501" s="2"/>
      <c r="G501" s="2"/>
      <c r="H501" s="2"/>
      <c r="I501" s="2"/>
      <c r="P501" s="58"/>
    </row>
    <row r="502" spans="2:16" ht="14.25" customHeight="1" x14ac:dyDescent="0.3">
      <c r="B502" s="57"/>
      <c r="C502" s="56"/>
      <c r="D502" s="2"/>
      <c r="F502" s="2"/>
      <c r="G502" s="2"/>
      <c r="H502" s="2"/>
      <c r="I502" s="2"/>
      <c r="P502" s="58"/>
    </row>
    <row r="503" spans="2:16" ht="14.25" customHeight="1" x14ac:dyDescent="0.3">
      <c r="B503" s="57"/>
      <c r="C503" s="56"/>
      <c r="D503" s="2"/>
      <c r="F503" s="2"/>
      <c r="G503" s="2"/>
      <c r="H503" s="2"/>
      <c r="I503" s="2"/>
      <c r="P503" s="58"/>
    </row>
    <row r="504" spans="2:16" ht="14.25" customHeight="1" x14ac:dyDescent="0.3">
      <c r="B504" s="57"/>
      <c r="C504" s="56"/>
      <c r="D504" s="2"/>
      <c r="F504" s="2"/>
      <c r="G504" s="2"/>
      <c r="H504" s="2"/>
      <c r="I504" s="2"/>
      <c r="P504" s="58"/>
    </row>
    <row r="505" spans="2:16" ht="14.25" customHeight="1" x14ac:dyDescent="0.3">
      <c r="B505" s="57"/>
      <c r="C505" s="56"/>
      <c r="D505" s="2"/>
      <c r="F505" s="2"/>
      <c r="G505" s="2"/>
      <c r="H505" s="2"/>
      <c r="I505" s="2"/>
      <c r="P505" s="58"/>
    </row>
    <row r="506" spans="2:16" ht="14.25" customHeight="1" x14ac:dyDescent="0.3">
      <c r="B506" s="57"/>
      <c r="C506" s="56"/>
      <c r="D506" s="2"/>
      <c r="F506" s="2"/>
      <c r="G506" s="2"/>
      <c r="H506" s="2"/>
      <c r="I506" s="2"/>
      <c r="P506" s="58"/>
    </row>
    <row r="507" spans="2:16" ht="14.25" customHeight="1" x14ac:dyDescent="0.3">
      <c r="B507" s="57"/>
      <c r="C507" s="56"/>
      <c r="D507" s="2"/>
      <c r="F507" s="2"/>
      <c r="G507" s="2"/>
      <c r="H507" s="2"/>
      <c r="I507" s="2"/>
      <c r="P507" s="58"/>
    </row>
    <row r="508" spans="2:16" ht="14.25" customHeight="1" x14ac:dyDescent="0.3">
      <c r="B508" s="57"/>
      <c r="C508" s="56"/>
      <c r="D508" s="2"/>
      <c r="F508" s="2"/>
      <c r="G508" s="2"/>
      <c r="H508" s="2"/>
      <c r="I508" s="2"/>
      <c r="P508" s="58"/>
    </row>
    <row r="509" spans="2:16" ht="14.25" customHeight="1" x14ac:dyDescent="0.3">
      <c r="B509" s="57"/>
      <c r="C509" s="56"/>
      <c r="D509" s="2"/>
      <c r="F509" s="2"/>
      <c r="G509" s="2"/>
      <c r="H509" s="2"/>
      <c r="I509" s="2"/>
      <c r="P509" s="58"/>
    </row>
    <row r="510" spans="2:16" ht="14.25" customHeight="1" x14ac:dyDescent="0.3">
      <c r="B510" s="57"/>
      <c r="C510" s="56"/>
      <c r="D510" s="2"/>
      <c r="F510" s="2"/>
      <c r="G510" s="2"/>
      <c r="H510" s="2"/>
      <c r="I510" s="2"/>
      <c r="P510" s="58"/>
    </row>
    <row r="511" spans="2:16" ht="14.25" customHeight="1" x14ac:dyDescent="0.3">
      <c r="B511" s="57"/>
      <c r="C511" s="56"/>
      <c r="D511" s="2"/>
      <c r="F511" s="2"/>
      <c r="G511" s="2"/>
      <c r="H511" s="2"/>
      <c r="I511" s="2"/>
      <c r="P511" s="58"/>
    </row>
    <row r="512" spans="2:16" ht="14.25" customHeight="1" x14ac:dyDescent="0.3">
      <c r="B512" s="57"/>
      <c r="C512" s="56"/>
      <c r="D512" s="2"/>
      <c r="F512" s="2"/>
      <c r="G512" s="2"/>
      <c r="H512" s="2"/>
      <c r="I512" s="2"/>
      <c r="P512" s="58"/>
    </row>
    <row r="513" spans="2:16" ht="14.25" customHeight="1" x14ac:dyDescent="0.3">
      <c r="B513" s="57"/>
      <c r="C513" s="56"/>
      <c r="D513" s="2"/>
      <c r="F513" s="2"/>
      <c r="G513" s="2"/>
      <c r="H513" s="2"/>
      <c r="I513" s="2"/>
      <c r="P513" s="58"/>
    </row>
    <row r="514" spans="2:16" ht="14.25" customHeight="1" x14ac:dyDescent="0.3">
      <c r="B514" s="57"/>
      <c r="C514" s="56"/>
      <c r="D514" s="2"/>
      <c r="F514" s="2"/>
      <c r="G514" s="2"/>
      <c r="H514" s="2"/>
      <c r="I514" s="2"/>
      <c r="P514" s="58"/>
    </row>
    <row r="515" spans="2:16" ht="14.25" customHeight="1" x14ac:dyDescent="0.3">
      <c r="B515" s="57"/>
      <c r="C515" s="56"/>
      <c r="D515" s="2"/>
      <c r="F515" s="2"/>
      <c r="G515" s="2"/>
      <c r="H515" s="2"/>
      <c r="I515" s="2"/>
      <c r="P515" s="58"/>
    </row>
    <row r="516" spans="2:16" ht="14.25" customHeight="1" x14ac:dyDescent="0.3">
      <c r="B516" s="57"/>
      <c r="C516" s="56"/>
      <c r="D516" s="2"/>
      <c r="F516" s="2"/>
      <c r="G516" s="2"/>
      <c r="H516" s="2"/>
      <c r="I516" s="2"/>
      <c r="P516" s="58"/>
    </row>
    <row r="517" spans="2:16" ht="14.25" customHeight="1" x14ac:dyDescent="0.3">
      <c r="B517" s="57"/>
      <c r="C517" s="56"/>
      <c r="D517" s="2"/>
      <c r="F517" s="2"/>
      <c r="G517" s="2"/>
      <c r="H517" s="2"/>
      <c r="I517" s="2"/>
      <c r="P517" s="58"/>
    </row>
    <row r="518" spans="2:16" ht="14.25" customHeight="1" x14ac:dyDescent="0.3">
      <c r="B518" s="57"/>
      <c r="C518" s="56"/>
      <c r="D518" s="2"/>
      <c r="F518" s="2"/>
      <c r="G518" s="2"/>
      <c r="H518" s="2"/>
      <c r="I518" s="2"/>
      <c r="P518" s="58"/>
    </row>
    <row r="519" spans="2:16" ht="14.25" customHeight="1" x14ac:dyDescent="0.3">
      <c r="B519" s="57"/>
      <c r="C519" s="56"/>
      <c r="D519" s="2"/>
      <c r="F519" s="2"/>
      <c r="G519" s="2"/>
      <c r="H519" s="2"/>
      <c r="I519" s="2"/>
      <c r="P519" s="58"/>
    </row>
    <row r="520" spans="2:16" ht="14.25" customHeight="1" x14ac:dyDescent="0.3">
      <c r="B520" s="57"/>
      <c r="C520" s="56"/>
      <c r="D520" s="2"/>
      <c r="F520" s="2"/>
      <c r="G520" s="2"/>
      <c r="H520" s="2"/>
      <c r="I520" s="2"/>
      <c r="P520" s="58"/>
    </row>
    <row r="521" spans="2:16" ht="14.25" customHeight="1" x14ac:dyDescent="0.3">
      <c r="B521" s="57"/>
      <c r="C521" s="56"/>
      <c r="D521" s="2"/>
      <c r="F521" s="2"/>
      <c r="G521" s="2"/>
      <c r="H521" s="2"/>
      <c r="I521" s="2"/>
      <c r="P521" s="58"/>
    </row>
    <row r="522" spans="2:16" ht="14.25" customHeight="1" x14ac:dyDescent="0.3">
      <c r="B522" s="57"/>
      <c r="C522" s="56"/>
      <c r="D522" s="2"/>
      <c r="F522" s="2"/>
      <c r="G522" s="2"/>
      <c r="H522" s="2"/>
      <c r="I522" s="2"/>
      <c r="P522" s="58"/>
    </row>
    <row r="523" spans="2:16" ht="14.25" customHeight="1" x14ac:dyDescent="0.3">
      <c r="B523" s="57"/>
      <c r="C523" s="56"/>
      <c r="D523" s="2"/>
      <c r="F523" s="2"/>
      <c r="G523" s="2"/>
      <c r="H523" s="2"/>
      <c r="I523" s="2"/>
      <c r="P523" s="58"/>
    </row>
    <row r="524" spans="2:16" ht="14.25" customHeight="1" x14ac:dyDescent="0.3">
      <c r="B524" s="57"/>
      <c r="C524" s="56"/>
      <c r="D524" s="2"/>
      <c r="F524" s="2"/>
      <c r="G524" s="2"/>
      <c r="H524" s="2"/>
      <c r="I524" s="2"/>
      <c r="P524" s="58"/>
    </row>
    <row r="525" spans="2:16" ht="14.25" customHeight="1" x14ac:dyDescent="0.3">
      <c r="B525" s="57"/>
      <c r="C525" s="56"/>
      <c r="D525" s="2"/>
      <c r="F525" s="2"/>
      <c r="G525" s="2"/>
      <c r="H525" s="2"/>
      <c r="I525" s="2"/>
      <c r="P525" s="58"/>
    </row>
    <row r="526" spans="2:16" ht="14.25" customHeight="1" x14ac:dyDescent="0.3">
      <c r="B526" s="57"/>
      <c r="C526" s="56"/>
      <c r="D526" s="2"/>
      <c r="F526" s="2"/>
      <c r="G526" s="2"/>
      <c r="H526" s="2"/>
      <c r="I526" s="2"/>
      <c r="P526" s="58"/>
    </row>
    <row r="527" spans="2:16" ht="14.25" customHeight="1" x14ac:dyDescent="0.3">
      <c r="B527" s="57"/>
      <c r="C527" s="56"/>
      <c r="D527" s="2"/>
      <c r="F527" s="2"/>
      <c r="G527" s="2"/>
      <c r="H527" s="2"/>
      <c r="I527" s="2"/>
      <c r="P527" s="58"/>
    </row>
    <row r="528" spans="2:16" ht="14.25" customHeight="1" x14ac:dyDescent="0.3">
      <c r="B528" s="57"/>
      <c r="C528" s="56"/>
      <c r="D528" s="2"/>
      <c r="F528" s="2"/>
      <c r="G528" s="2"/>
      <c r="H528" s="2"/>
      <c r="I528" s="2"/>
      <c r="P528" s="58"/>
    </row>
    <row r="529" spans="2:16" ht="14.25" customHeight="1" x14ac:dyDescent="0.3">
      <c r="B529" s="57"/>
      <c r="C529" s="56"/>
      <c r="D529" s="2"/>
      <c r="F529" s="2"/>
      <c r="G529" s="2"/>
      <c r="H529" s="2"/>
      <c r="I529" s="2"/>
      <c r="P529" s="58"/>
    </row>
    <row r="530" spans="2:16" ht="14.25" customHeight="1" x14ac:dyDescent="0.3">
      <c r="B530" s="57"/>
      <c r="C530" s="56"/>
      <c r="D530" s="2"/>
      <c r="F530" s="2"/>
      <c r="G530" s="2"/>
      <c r="H530" s="2"/>
      <c r="I530" s="2"/>
      <c r="P530" s="58"/>
    </row>
    <row r="531" spans="2:16" ht="14.25" customHeight="1" x14ac:dyDescent="0.3">
      <c r="B531" s="57"/>
      <c r="C531" s="56"/>
      <c r="D531" s="2"/>
      <c r="F531" s="2"/>
      <c r="G531" s="2"/>
      <c r="H531" s="2"/>
      <c r="I531" s="2"/>
      <c r="P531" s="58"/>
    </row>
    <row r="532" spans="2:16" ht="14.25" customHeight="1" x14ac:dyDescent="0.3">
      <c r="B532" s="57"/>
      <c r="C532" s="56"/>
      <c r="D532" s="2"/>
      <c r="F532" s="2"/>
      <c r="G532" s="2"/>
      <c r="H532" s="2"/>
      <c r="I532" s="2"/>
      <c r="P532" s="58"/>
    </row>
    <row r="533" spans="2:16" ht="14.25" customHeight="1" x14ac:dyDescent="0.3">
      <c r="B533" s="57"/>
      <c r="C533" s="56"/>
      <c r="D533" s="2"/>
      <c r="F533" s="2"/>
      <c r="G533" s="2"/>
      <c r="H533" s="2"/>
      <c r="I533" s="2"/>
      <c r="P533" s="58"/>
    </row>
    <row r="534" spans="2:16" ht="14.25" customHeight="1" x14ac:dyDescent="0.3">
      <c r="B534" s="57"/>
      <c r="C534" s="56"/>
      <c r="D534" s="2"/>
      <c r="F534" s="2"/>
      <c r="G534" s="2"/>
      <c r="H534" s="2"/>
      <c r="I534" s="2"/>
      <c r="P534" s="58"/>
    </row>
    <row r="535" spans="2:16" ht="14.25" customHeight="1" x14ac:dyDescent="0.3">
      <c r="B535" s="57"/>
      <c r="C535" s="56"/>
      <c r="D535" s="2"/>
      <c r="F535" s="2"/>
      <c r="G535" s="2"/>
      <c r="H535" s="2"/>
      <c r="I535" s="2"/>
      <c r="P535" s="58"/>
    </row>
    <row r="536" spans="2:16" ht="14.25" customHeight="1" x14ac:dyDescent="0.3">
      <c r="B536" s="57"/>
      <c r="C536" s="56"/>
      <c r="D536" s="2"/>
      <c r="F536" s="2"/>
      <c r="G536" s="2"/>
      <c r="H536" s="2"/>
      <c r="I536" s="2"/>
      <c r="P536" s="58"/>
    </row>
    <row r="537" spans="2:16" ht="14.25" customHeight="1" x14ac:dyDescent="0.3">
      <c r="B537" s="57"/>
      <c r="C537" s="56"/>
      <c r="D537" s="2"/>
      <c r="F537" s="2"/>
      <c r="G537" s="2"/>
      <c r="H537" s="2"/>
      <c r="I537" s="2"/>
      <c r="P537" s="58"/>
    </row>
    <row r="538" spans="2:16" ht="14.25" customHeight="1" x14ac:dyDescent="0.3">
      <c r="B538" s="57"/>
      <c r="C538" s="56"/>
      <c r="D538" s="2"/>
      <c r="F538" s="2"/>
      <c r="G538" s="2"/>
      <c r="H538" s="2"/>
      <c r="I538" s="2"/>
      <c r="P538" s="58"/>
    </row>
    <row r="539" spans="2:16" ht="14.25" customHeight="1" x14ac:dyDescent="0.3">
      <c r="B539" s="57"/>
      <c r="C539" s="56"/>
      <c r="D539" s="2"/>
      <c r="F539" s="2"/>
      <c r="G539" s="2"/>
      <c r="H539" s="2"/>
      <c r="I539" s="2"/>
      <c r="P539" s="58"/>
    </row>
    <row r="540" spans="2:16" ht="14.25" customHeight="1" x14ac:dyDescent="0.3">
      <c r="B540" s="57"/>
      <c r="C540" s="56"/>
      <c r="D540" s="2"/>
      <c r="F540" s="2"/>
      <c r="G540" s="2"/>
      <c r="H540" s="2"/>
      <c r="I540" s="2"/>
      <c r="P540" s="58"/>
    </row>
    <row r="541" spans="2:16" ht="14.25" customHeight="1" x14ac:dyDescent="0.3">
      <c r="B541" s="57"/>
      <c r="C541" s="56"/>
      <c r="D541" s="2"/>
      <c r="F541" s="2"/>
      <c r="G541" s="2"/>
      <c r="H541" s="2"/>
      <c r="I541" s="2"/>
      <c r="P541" s="58"/>
    </row>
    <row r="542" spans="2:16" ht="14.25" customHeight="1" x14ac:dyDescent="0.3">
      <c r="B542" s="57"/>
      <c r="C542" s="56"/>
      <c r="D542" s="2"/>
      <c r="F542" s="2"/>
      <c r="G542" s="2"/>
      <c r="H542" s="2"/>
      <c r="I542" s="2"/>
      <c r="P542" s="58"/>
    </row>
    <row r="543" spans="2:16" ht="14.25" customHeight="1" x14ac:dyDescent="0.3">
      <c r="B543" s="57"/>
      <c r="C543" s="56"/>
      <c r="D543" s="2"/>
      <c r="F543" s="2"/>
      <c r="G543" s="2"/>
      <c r="H543" s="2"/>
      <c r="I543" s="2"/>
      <c r="P543" s="58"/>
    </row>
    <row r="544" spans="2:16" ht="14.25" customHeight="1" x14ac:dyDescent="0.3">
      <c r="B544" s="57"/>
      <c r="C544" s="56"/>
      <c r="D544" s="2"/>
      <c r="F544" s="2"/>
      <c r="G544" s="2"/>
      <c r="H544" s="2"/>
      <c r="I544" s="2"/>
      <c r="P544" s="58"/>
    </row>
    <row r="545" spans="2:16" ht="14.25" customHeight="1" x14ac:dyDescent="0.3">
      <c r="B545" s="57"/>
      <c r="C545" s="56"/>
      <c r="D545" s="2"/>
      <c r="F545" s="2"/>
      <c r="G545" s="2"/>
      <c r="H545" s="2"/>
      <c r="I545" s="2"/>
      <c r="P545" s="58"/>
    </row>
    <row r="546" spans="2:16" ht="14.25" customHeight="1" x14ac:dyDescent="0.3">
      <c r="B546" s="57"/>
      <c r="C546" s="56"/>
      <c r="D546" s="2"/>
      <c r="F546" s="2"/>
      <c r="G546" s="2"/>
      <c r="H546" s="2"/>
      <c r="I546" s="2"/>
      <c r="P546" s="58"/>
    </row>
    <row r="547" spans="2:16" ht="14.25" customHeight="1" x14ac:dyDescent="0.3">
      <c r="B547" s="57"/>
      <c r="C547" s="56"/>
      <c r="D547" s="2"/>
      <c r="F547" s="2"/>
      <c r="G547" s="2"/>
      <c r="H547" s="2"/>
      <c r="I547" s="2"/>
      <c r="P547" s="58"/>
    </row>
    <row r="548" spans="2:16" ht="14.25" customHeight="1" x14ac:dyDescent="0.3">
      <c r="B548" s="57"/>
      <c r="C548" s="56"/>
      <c r="D548" s="2"/>
      <c r="F548" s="2"/>
      <c r="G548" s="2"/>
      <c r="H548" s="2"/>
      <c r="I548" s="2"/>
      <c r="P548" s="58"/>
    </row>
    <row r="549" spans="2:16" ht="14.25" customHeight="1" x14ac:dyDescent="0.3">
      <c r="B549" s="57"/>
      <c r="C549" s="56"/>
      <c r="D549" s="2"/>
      <c r="F549" s="2"/>
      <c r="G549" s="2"/>
      <c r="H549" s="2"/>
      <c r="I549" s="2"/>
      <c r="P549" s="58"/>
    </row>
    <row r="550" spans="2:16" ht="14.25" customHeight="1" x14ac:dyDescent="0.3">
      <c r="B550" s="57"/>
      <c r="C550" s="56"/>
      <c r="D550" s="2"/>
      <c r="F550" s="2"/>
      <c r="G550" s="2"/>
      <c r="H550" s="2"/>
      <c r="I550" s="2"/>
      <c r="P550" s="58"/>
    </row>
    <row r="551" spans="2:16" ht="14.25" customHeight="1" x14ac:dyDescent="0.3">
      <c r="B551" s="57"/>
      <c r="C551" s="56"/>
      <c r="D551" s="2"/>
      <c r="F551" s="2"/>
      <c r="G551" s="2"/>
      <c r="H551" s="2"/>
      <c r="I551" s="2"/>
      <c r="P551" s="58"/>
    </row>
    <row r="552" spans="2:16" ht="14.25" customHeight="1" x14ac:dyDescent="0.3">
      <c r="B552" s="57"/>
      <c r="C552" s="56"/>
      <c r="D552" s="2"/>
      <c r="F552" s="2"/>
      <c r="G552" s="2"/>
      <c r="H552" s="2"/>
      <c r="I552" s="2"/>
      <c r="P552" s="58"/>
    </row>
    <row r="553" spans="2:16" ht="14.25" customHeight="1" x14ac:dyDescent="0.3">
      <c r="B553" s="57"/>
      <c r="C553" s="56"/>
      <c r="D553" s="2"/>
      <c r="F553" s="2"/>
      <c r="G553" s="2"/>
      <c r="H553" s="2"/>
      <c r="I553" s="2"/>
      <c r="P553" s="58"/>
    </row>
    <row r="554" spans="2:16" ht="14.25" customHeight="1" x14ac:dyDescent="0.3">
      <c r="B554" s="57"/>
      <c r="C554" s="56"/>
      <c r="D554" s="2"/>
      <c r="F554" s="2"/>
      <c r="G554" s="2"/>
      <c r="H554" s="2"/>
      <c r="I554" s="2"/>
      <c r="P554" s="58"/>
    </row>
    <row r="555" spans="2:16" ht="14.25" customHeight="1" x14ac:dyDescent="0.3">
      <c r="B555" s="57"/>
      <c r="C555" s="56"/>
      <c r="D555" s="2"/>
      <c r="F555" s="2"/>
      <c r="G555" s="2"/>
      <c r="H555" s="2"/>
      <c r="I555" s="2"/>
      <c r="P555" s="58"/>
    </row>
    <row r="556" spans="2:16" ht="14.25" customHeight="1" x14ac:dyDescent="0.3">
      <c r="B556" s="57"/>
      <c r="C556" s="56"/>
      <c r="D556" s="2"/>
      <c r="F556" s="2"/>
      <c r="G556" s="2"/>
      <c r="H556" s="2"/>
      <c r="I556" s="2"/>
      <c r="P556" s="58"/>
    </row>
    <row r="557" spans="2:16" ht="14.25" customHeight="1" x14ac:dyDescent="0.3">
      <c r="B557" s="57"/>
      <c r="C557" s="56"/>
      <c r="D557" s="2"/>
      <c r="F557" s="2"/>
      <c r="G557" s="2"/>
      <c r="H557" s="2"/>
      <c r="I557" s="2"/>
      <c r="P557" s="58"/>
    </row>
    <row r="558" spans="2:16" ht="14.25" customHeight="1" x14ac:dyDescent="0.3">
      <c r="B558" s="57"/>
      <c r="C558" s="56"/>
      <c r="D558" s="2"/>
      <c r="F558" s="2"/>
      <c r="G558" s="2"/>
      <c r="H558" s="2"/>
      <c r="I558" s="2"/>
      <c r="P558" s="58"/>
    </row>
    <row r="559" spans="2:16" ht="14.25" customHeight="1" x14ac:dyDescent="0.3">
      <c r="B559" s="57"/>
      <c r="C559" s="56"/>
      <c r="D559" s="2"/>
      <c r="F559" s="2"/>
      <c r="G559" s="2"/>
      <c r="H559" s="2"/>
      <c r="I559" s="2"/>
      <c r="P559" s="58"/>
    </row>
    <row r="560" spans="2:16" ht="14.25" customHeight="1" x14ac:dyDescent="0.3">
      <c r="B560" s="57"/>
      <c r="C560" s="56"/>
      <c r="D560" s="2"/>
      <c r="F560" s="2"/>
      <c r="G560" s="2"/>
      <c r="H560" s="2"/>
      <c r="I560" s="2"/>
      <c r="P560" s="58"/>
    </row>
    <row r="561" spans="2:16" ht="14.25" customHeight="1" x14ac:dyDescent="0.3">
      <c r="B561" s="57"/>
      <c r="C561" s="56"/>
      <c r="D561" s="2"/>
      <c r="F561" s="2"/>
      <c r="G561" s="2"/>
      <c r="H561" s="2"/>
      <c r="I561" s="2"/>
      <c r="P561" s="58"/>
    </row>
    <row r="562" spans="2:16" ht="14.25" customHeight="1" x14ac:dyDescent="0.3">
      <c r="B562" s="57"/>
      <c r="C562" s="56"/>
      <c r="D562" s="2"/>
      <c r="F562" s="2"/>
      <c r="G562" s="2"/>
      <c r="H562" s="2"/>
      <c r="I562" s="2"/>
      <c r="P562" s="58"/>
    </row>
    <row r="563" spans="2:16" ht="14.25" customHeight="1" x14ac:dyDescent="0.3">
      <c r="B563" s="57"/>
      <c r="C563" s="56"/>
      <c r="D563" s="2"/>
      <c r="F563" s="2"/>
      <c r="G563" s="2"/>
      <c r="H563" s="2"/>
      <c r="I563" s="2"/>
      <c r="P563" s="58"/>
    </row>
    <row r="564" spans="2:16" ht="14.25" customHeight="1" x14ac:dyDescent="0.3">
      <c r="B564" s="57"/>
      <c r="C564" s="56"/>
      <c r="D564" s="2"/>
      <c r="F564" s="2"/>
      <c r="G564" s="2"/>
      <c r="H564" s="2"/>
      <c r="I564" s="2"/>
      <c r="P564" s="58"/>
    </row>
    <row r="565" spans="2:16" ht="14.25" customHeight="1" x14ac:dyDescent="0.3">
      <c r="B565" s="57"/>
      <c r="C565" s="56"/>
      <c r="D565" s="2"/>
      <c r="F565" s="2"/>
      <c r="G565" s="2"/>
      <c r="H565" s="2"/>
      <c r="I565" s="2"/>
      <c r="P565" s="58"/>
    </row>
    <row r="566" spans="2:16" ht="14.25" customHeight="1" x14ac:dyDescent="0.3">
      <c r="B566" s="57"/>
      <c r="C566" s="56"/>
      <c r="D566" s="2"/>
      <c r="F566" s="2"/>
      <c r="G566" s="2"/>
      <c r="H566" s="2"/>
      <c r="I566" s="2"/>
      <c r="P566" s="58"/>
    </row>
    <row r="567" spans="2:16" ht="14.25" customHeight="1" x14ac:dyDescent="0.3">
      <c r="B567" s="57"/>
      <c r="C567" s="56"/>
      <c r="D567" s="2"/>
      <c r="F567" s="2"/>
      <c r="G567" s="2"/>
      <c r="H567" s="2"/>
      <c r="I567" s="2"/>
      <c r="P567" s="58"/>
    </row>
    <row r="568" spans="2:16" ht="14.25" customHeight="1" x14ac:dyDescent="0.3">
      <c r="B568" s="57"/>
      <c r="C568" s="56"/>
      <c r="D568" s="2"/>
      <c r="F568" s="2"/>
      <c r="G568" s="2"/>
      <c r="H568" s="2"/>
      <c r="I568" s="2"/>
      <c r="P568" s="58"/>
    </row>
    <row r="569" spans="2:16" ht="14.25" customHeight="1" x14ac:dyDescent="0.3">
      <c r="B569" s="57"/>
      <c r="C569" s="56"/>
      <c r="D569" s="2"/>
      <c r="F569" s="2"/>
      <c r="G569" s="2"/>
      <c r="H569" s="2"/>
      <c r="I569" s="2"/>
      <c r="P569" s="58"/>
    </row>
    <row r="570" spans="2:16" ht="14.25" customHeight="1" x14ac:dyDescent="0.3">
      <c r="B570" s="57"/>
      <c r="C570" s="56"/>
      <c r="D570" s="2"/>
      <c r="F570" s="2"/>
      <c r="G570" s="2"/>
      <c r="H570" s="2"/>
      <c r="I570" s="2"/>
      <c r="P570" s="58"/>
    </row>
    <row r="571" spans="2:16" ht="14.25" customHeight="1" x14ac:dyDescent="0.3">
      <c r="B571" s="57"/>
      <c r="C571" s="56"/>
      <c r="D571" s="2"/>
      <c r="F571" s="2"/>
      <c r="G571" s="2"/>
      <c r="H571" s="2"/>
      <c r="I571" s="2"/>
      <c r="P571" s="58"/>
    </row>
    <row r="572" spans="2:16" ht="14.25" customHeight="1" x14ac:dyDescent="0.3">
      <c r="B572" s="57"/>
      <c r="C572" s="56"/>
      <c r="D572" s="2"/>
      <c r="F572" s="2"/>
      <c r="G572" s="2"/>
      <c r="H572" s="2"/>
      <c r="I572" s="2"/>
      <c r="P572" s="58"/>
    </row>
    <row r="573" spans="2:16" ht="14.25" customHeight="1" x14ac:dyDescent="0.3">
      <c r="B573" s="57"/>
      <c r="C573" s="56"/>
      <c r="D573" s="2"/>
      <c r="F573" s="2"/>
      <c r="G573" s="2"/>
      <c r="H573" s="2"/>
      <c r="I573" s="2"/>
      <c r="P573" s="58"/>
    </row>
    <row r="574" spans="2:16" ht="14.25" customHeight="1" x14ac:dyDescent="0.3">
      <c r="B574" s="57"/>
      <c r="C574" s="56"/>
      <c r="D574" s="2"/>
      <c r="F574" s="2"/>
      <c r="G574" s="2"/>
      <c r="H574" s="2"/>
      <c r="I574" s="2"/>
      <c r="P574" s="58"/>
    </row>
    <row r="575" spans="2:16" ht="14.25" customHeight="1" x14ac:dyDescent="0.3">
      <c r="B575" s="57"/>
      <c r="C575" s="56"/>
      <c r="D575" s="2"/>
      <c r="F575" s="2"/>
      <c r="G575" s="2"/>
      <c r="H575" s="2"/>
      <c r="I575" s="2"/>
      <c r="P575" s="58"/>
    </row>
    <row r="576" spans="2:16" ht="14.25" customHeight="1" x14ac:dyDescent="0.3">
      <c r="B576" s="57"/>
      <c r="C576" s="56"/>
      <c r="D576" s="2"/>
      <c r="F576" s="2"/>
      <c r="G576" s="2"/>
      <c r="H576" s="2"/>
      <c r="I576" s="2"/>
      <c r="P576" s="58"/>
    </row>
    <row r="577" spans="2:16" ht="14.25" customHeight="1" x14ac:dyDescent="0.3">
      <c r="B577" s="57"/>
      <c r="C577" s="56"/>
      <c r="D577" s="2"/>
      <c r="F577" s="2"/>
      <c r="G577" s="2"/>
      <c r="H577" s="2"/>
      <c r="I577" s="2"/>
      <c r="P577" s="58"/>
    </row>
    <row r="578" spans="2:16" ht="14.25" customHeight="1" x14ac:dyDescent="0.3">
      <c r="B578" s="57"/>
      <c r="C578" s="56"/>
      <c r="D578" s="2"/>
      <c r="F578" s="2"/>
      <c r="G578" s="2"/>
      <c r="H578" s="2"/>
      <c r="I578" s="2"/>
      <c r="P578" s="58"/>
    </row>
    <row r="579" spans="2:16" ht="14.25" customHeight="1" x14ac:dyDescent="0.3">
      <c r="B579" s="57"/>
      <c r="C579" s="56"/>
      <c r="D579" s="2"/>
      <c r="F579" s="2"/>
      <c r="G579" s="2"/>
      <c r="H579" s="2"/>
      <c r="I579" s="2"/>
      <c r="P579" s="58"/>
    </row>
    <row r="580" spans="2:16" ht="14.25" customHeight="1" x14ac:dyDescent="0.3">
      <c r="B580" s="57"/>
      <c r="C580" s="56"/>
      <c r="D580" s="2"/>
      <c r="F580" s="2"/>
      <c r="G580" s="2"/>
      <c r="H580" s="2"/>
      <c r="I580" s="2"/>
      <c r="P580" s="58"/>
    </row>
    <row r="581" spans="2:16" ht="14.25" customHeight="1" x14ac:dyDescent="0.3">
      <c r="B581" s="57"/>
      <c r="C581" s="56"/>
      <c r="D581" s="2"/>
      <c r="F581" s="2"/>
      <c r="G581" s="2"/>
      <c r="H581" s="2"/>
      <c r="I581" s="2"/>
      <c r="P581" s="58"/>
    </row>
    <row r="582" spans="2:16" ht="14.25" customHeight="1" x14ac:dyDescent="0.3">
      <c r="B582" s="57"/>
      <c r="C582" s="56"/>
      <c r="D582" s="2"/>
      <c r="F582" s="2"/>
      <c r="G582" s="2"/>
      <c r="H582" s="2"/>
      <c r="I582" s="2"/>
      <c r="P582" s="58"/>
    </row>
    <row r="583" spans="2:16" ht="14.25" customHeight="1" x14ac:dyDescent="0.3">
      <c r="B583" s="57"/>
      <c r="C583" s="56"/>
      <c r="D583" s="2"/>
      <c r="F583" s="2"/>
      <c r="G583" s="2"/>
      <c r="H583" s="2"/>
      <c r="I583" s="2"/>
      <c r="P583" s="58"/>
    </row>
    <row r="584" spans="2:16" ht="14.25" customHeight="1" x14ac:dyDescent="0.3">
      <c r="B584" s="57"/>
      <c r="C584" s="56"/>
      <c r="D584" s="2"/>
      <c r="F584" s="2"/>
      <c r="G584" s="2"/>
      <c r="H584" s="2"/>
      <c r="I584" s="2"/>
      <c r="P584" s="58"/>
    </row>
    <row r="585" spans="2:16" ht="14.25" customHeight="1" x14ac:dyDescent="0.3">
      <c r="B585" s="57"/>
      <c r="C585" s="56"/>
      <c r="D585" s="2"/>
      <c r="F585" s="2"/>
      <c r="G585" s="2"/>
      <c r="H585" s="2"/>
      <c r="I585" s="2"/>
      <c r="P585" s="58"/>
    </row>
    <row r="586" spans="2:16" ht="14.25" customHeight="1" x14ac:dyDescent="0.3">
      <c r="B586" s="57"/>
      <c r="C586" s="56"/>
      <c r="D586" s="2"/>
      <c r="F586" s="2"/>
      <c r="G586" s="2"/>
      <c r="H586" s="2"/>
      <c r="I586" s="2"/>
      <c r="P586" s="58"/>
    </row>
    <row r="587" spans="2:16" ht="14.25" customHeight="1" x14ac:dyDescent="0.3">
      <c r="B587" s="57"/>
      <c r="C587" s="56"/>
      <c r="D587" s="2"/>
      <c r="F587" s="2"/>
      <c r="G587" s="2"/>
      <c r="H587" s="2"/>
      <c r="I587" s="2"/>
      <c r="P587" s="58"/>
    </row>
    <row r="588" spans="2:16" ht="14.25" customHeight="1" x14ac:dyDescent="0.3">
      <c r="B588" s="57"/>
      <c r="C588" s="56"/>
      <c r="D588" s="2"/>
      <c r="F588" s="2"/>
      <c r="G588" s="2"/>
      <c r="H588" s="2"/>
      <c r="I588" s="2"/>
      <c r="P588" s="58"/>
    </row>
    <row r="589" spans="2:16" ht="14.25" customHeight="1" x14ac:dyDescent="0.3">
      <c r="B589" s="57"/>
      <c r="C589" s="56"/>
      <c r="D589" s="2"/>
      <c r="F589" s="2"/>
      <c r="G589" s="2"/>
      <c r="H589" s="2"/>
      <c r="I589" s="2"/>
      <c r="P589" s="58"/>
    </row>
    <row r="590" spans="2:16" ht="14.25" customHeight="1" x14ac:dyDescent="0.3">
      <c r="B590" s="57"/>
      <c r="C590" s="56"/>
      <c r="D590" s="2"/>
      <c r="F590" s="2"/>
      <c r="G590" s="2"/>
      <c r="H590" s="2"/>
      <c r="I590" s="2"/>
      <c r="P590" s="58"/>
    </row>
    <row r="591" spans="2:16" ht="14.25" customHeight="1" x14ac:dyDescent="0.3">
      <c r="B591" s="57"/>
      <c r="C591" s="56"/>
      <c r="D591" s="2"/>
      <c r="F591" s="2"/>
      <c r="G591" s="2"/>
      <c r="H591" s="2"/>
      <c r="I591" s="2"/>
      <c r="P591" s="58"/>
    </row>
    <row r="592" spans="2:16" ht="14.25" customHeight="1" x14ac:dyDescent="0.3">
      <c r="B592" s="57"/>
      <c r="C592" s="56"/>
      <c r="D592" s="2"/>
      <c r="F592" s="2"/>
      <c r="G592" s="2"/>
      <c r="H592" s="2"/>
      <c r="I592" s="2"/>
      <c r="P592" s="58"/>
    </row>
    <row r="593" spans="2:16" ht="14.25" customHeight="1" x14ac:dyDescent="0.3">
      <c r="B593" s="57"/>
      <c r="C593" s="56"/>
      <c r="D593" s="2"/>
      <c r="F593" s="2"/>
      <c r="G593" s="2"/>
      <c r="H593" s="2"/>
      <c r="I593" s="2"/>
      <c r="P593" s="58"/>
    </row>
    <row r="594" spans="2:16" ht="14.25" customHeight="1" x14ac:dyDescent="0.3">
      <c r="B594" s="57"/>
      <c r="C594" s="56"/>
      <c r="D594" s="2"/>
      <c r="F594" s="2"/>
      <c r="G594" s="2"/>
      <c r="H594" s="2"/>
      <c r="I594" s="2"/>
      <c r="P594" s="58"/>
    </row>
    <row r="595" spans="2:16" ht="14.25" customHeight="1" x14ac:dyDescent="0.3">
      <c r="B595" s="57"/>
      <c r="C595" s="56"/>
      <c r="D595" s="2"/>
      <c r="F595" s="2"/>
      <c r="G595" s="2"/>
      <c r="H595" s="2"/>
      <c r="I595" s="2"/>
      <c r="P595" s="58"/>
    </row>
    <row r="596" spans="2:16" ht="14.25" customHeight="1" x14ac:dyDescent="0.3">
      <c r="B596" s="57"/>
      <c r="C596" s="56"/>
      <c r="D596" s="2"/>
      <c r="F596" s="2"/>
      <c r="G596" s="2"/>
      <c r="H596" s="2"/>
      <c r="I596" s="2"/>
      <c r="P596" s="58"/>
    </row>
    <row r="597" spans="2:16" ht="14.25" customHeight="1" x14ac:dyDescent="0.3">
      <c r="B597" s="57"/>
      <c r="C597" s="56"/>
      <c r="D597" s="2"/>
      <c r="F597" s="2"/>
      <c r="G597" s="2"/>
      <c r="H597" s="2"/>
      <c r="I597" s="2"/>
      <c r="P597" s="58"/>
    </row>
    <row r="598" spans="2:16" ht="14.25" customHeight="1" x14ac:dyDescent="0.3">
      <c r="B598" s="57"/>
      <c r="C598" s="56"/>
      <c r="D598" s="2"/>
      <c r="F598" s="2"/>
      <c r="G598" s="2"/>
      <c r="H598" s="2"/>
      <c r="I598" s="2"/>
      <c r="P598" s="58"/>
    </row>
    <row r="599" spans="2:16" ht="14.25" customHeight="1" x14ac:dyDescent="0.3">
      <c r="B599" s="57"/>
      <c r="C599" s="56"/>
      <c r="D599" s="2"/>
      <c r="F599" s="2"/>
      <c r="G599" s="2"/>
      <c r="H599" s="2"/>
      <c r="I599" s="2"/>
      <c r="P599" s="58"/>
    </row>
    <row r="600" spans="2:16" ht="14.25" customHeight="1" x14ac:dyDescent="0.3">
      <c r="B600" s="57"/>
      <c r="C600" s="56"/>
      <c r="D600" s="2"/>
      <c r="F600" s="2"/>
      <c r="G600" s="2"/>
      <c r="H600" s="2"/>
      <c r="I600" s="2"/>
      <c r="P600" s="58"/>
    </row>
    <row r="601" spans="2:16" ht="14.25" customHeight="1" x14ac:dyDescent="0.3">
      <c r="B601" s="57"/>
      <c r="C601" s="56"/>
      <c r="D601" s="2"/>
      <c r="F601" s="2"/>
      <c r="G601" s="2"/>
      <c r="H601" s="2"/>
      <c r="I601" s="2"/>
      <c r="P601" s="58"/>
    </row>
    <row r="602" spans="2:16" ht="14.25" customHeight="1" x14ac:dyDescent="0.3">
      <c r="B602" s="57"/>
      <c r="C602" s="56"/>
      <c r="D602" s="2"/>
      <c r="F602" s="2"/>
      <c r="G602" s="2"/>
      <c r="H602" s="2"/>
      <c r="I602" s="2"/>
      <c r="P602" s="58"/>
    </row>
    <row r="603" spans="2:16" ht="14.25" customHeight="1" x14ac:dyDescent="0.3">
      <c r="B603" s="57"/>
      <c r="C603" s="56"/>
      <c r="D603" s="2"/>
      <c r="F603" s="2"/>
      <c r="G603" s="2"/>
      <c r="H603" s="2"/>
      <c r="I603" s="2"/>
      <c r="P603" s="58"/>
    </row>
    <row r="604" spans="2:16" ht="14.25" customHeight="1" x14ac:dyDescent="0.3">
      <c r="B604" s="57"/>
      <c r="C604" s="56"/>
      <c r="D604" s="2"/>
      <c r="F604" s="2"/>
      <c r="G604" s="2"/>
      <c r="H604" s="2"/>
      <c r="I604" s="2"/>
      <c r="P604" s="58"/>
    </row>
    <row r="605" spans="2:16" ht="14.25" customHeight="1" x14ac:dyDescent="0.3">
      <c r="B605" s="57"/>
      <c r="C605" s="56"/>
      <c r="D605" s="2"/>
      <c r="F605" s="2"/>
      <c r="G605" s="2"/>
      <c r="H605" s="2"/>
      <c r="I605" s="2"/>
      <c r="P605" s="58"/>
    </row>
    <row r="606" spans="2:16" ht="14.25" customHeight="1" x14ac:dyDescent="0.3">
      <c r="B606" s="57"/>
      <c r="C606" s="56"/>
      <c r="D606" s="2"/>
      <c r="F606" s="2"/>
      <c r="G606" s="2"/>
      <c r="H606" s="2"/>
      <c r="I606" s="2"/>
      <c r="P606" s="58"/>
    </row>
    <row r="607" spans="2:16" ht="14.25" customHeight="1" x14ac:dyDescent="0.3">
      <c r="B607" s="57"/>
      <c r="C607" s="56"/>
      <c r="D607" s="2"/>
      <c r="F607" s="2"/>
      <c r="G607" s="2"/>
      <c r="H607" s="2"/>
      <c r="I607" s="2"/>
      <c r="P607" s="58"/>
    </row>
    <row r="608" spans="2:16" ht="14.25" customHeight="1" x14ac:dyDescent="0.3">
      <c r="B608" s="57"/>
      <c r="C608" s="56"/>
      <c r="D608" s="2"/>
      <c r="F608" s="2"/>
      <c r="G608" s="2"/>
      <c r="H608" s="2"/>
      <c r="I608" s="2"/>
      <c r="P608" s="58"/>
    </row>
    <row r="609" spans="2:16" ht="14.25" customHeight="1" x14ac:dyDescent="0.3">
      <c r="B609" s="57"/>
      <c r="C609" s="56"/>
      <c r="D609" s="2"/>
      <c r="F609" s="2"/>
      <c r="G609" s="2"/>
      <c r="H609" s="2"/>
      <c r="I609" s="2"/>
      <c r="P609" s="58"/>
    </row>
    <row r="610" spans="2:16" ht="14.25" customHeight="1" x14ac:dyDescent="0.3">
      <c r="B610" s="57"/>
      <c r="C610" s="56"/>
      <c r="D610" s="2"/>
      <c r="F610" s="2"/>
      <c r="G610" s="2"/>
      <c r="H610" s="2"/>
      <c r="I610" s="2"/>
      <c r="P610" s="58"/>
    </row>
    <row r="611" spans="2:16" ht="14.25" customHeight="1" x14ac:dyDescent="0.3">
      <c r="B611" s="57"/>
      <c r="C611" s="56"/>
      <c r="D611" s="2"/>
      <c r="F611" s="2"/>
      <c r="G611" s="2"/>
      <c r="H611" s="2"/>
      <c r="I611" s="2"/>
      <c r="P611" s="58"/>
    </row>
    <row r="612" spans="2:16" ht="14.25" customHeight="1" x14ac:dyDescent="0.3">
      <c r="B612" s="57"/>
      <c r="C612" s="56"/>
      <c r="D612" s="2"/>
      <c r="F612" s="2"/>
      <c r="G612" s="2"/>
      <c r="H612" s="2"/>
      <c r="I612" s="2"/>
      <c r="P612" s="58"/>
    </row>
    <row r="613" spans="2:16" ht="14.25" customHeight="1" x14ac:dyDescent="0.3">
      <c r="B613" s="57"/>
      <c r="C613" s="56"/>
      <c r="D613" s="2"/>
      <c r="F613" s="2"/>
      <c r="G613" s="2"/>
      <c r="H613" s="2"/>
      <c r="I613" s="2"/>
      <c r="P613" s="58"/>
    </row>
    <row r="614" spans="2:16" ht="14.25" customHeight="1" x14ac:dyDescent="0.3">
      <c r="B614" s="57"/>
      <c r="C614" s="56"/>
      <c r="D614" s="2"/>
      <c r="F614" s="2"/>
      <c r="G614" s="2"/>
      <c r="H614" s="2"/>
      <c r="I614" s="2"/>
      <c r="P614" s="58"/>
    </row>
    <row r="615" spans="2:16" ht="14.25" customHeight="1" x14ac:dyDescent="0.3">
      <c r="B615" s="57"/>
      <c r="C615" s="56"/>
      <c r="D615" s="2"/>
      <c r="F615" s="2"/>
      <c r="G615" s="2"/>
      <c r="H615" s="2"/>
      <c r="I615" s="2"/>
      <c r="P615" s="58"/>
    </row>
    <row r="616" spans="2:16" ht="14.25" customHeight="1" x14ac:dyDescent="0.3">
      <c r="B616" s="57"/>
      <c r="C616" s="56"/>
      <c r="D616" s="2"/>
      <c r="F616" s="2"/>
      <c r="G616" s="2"/>
      <c r="H616" s="2"/>
      <c r="I616" s="2"/>
      <c r="P616" s="58"/>
    </row>
    <row r="617" spans="2:16" ht="14.25" customHeight="1" x14ac:dyDescent="0.3">
      <c r="B617" s="57"/>
      <c r="C617" s="56"/>
      <c r="D617" s="2"/>
      <c r="F617" s="2"/>
      <c r="G617" s="2"/>
      <c r="H617" s="2"/>
      <c r="I617" s="2"/>
      <c r="P617" s="58"/>
    </row>
    <row r="618" spans="2:16" ht="14.25" customHeight="1" x14ac:dyDescent="0.3">
      <c r="B618" s="57"/>
      <c r="C618" s="56"/>
      <c r="D618" s="2"/>
      <c r="F618" s="2"/>
      <c r="G618" s="2"/>
      <c r="H618" s="2"/>
      <c r="I618" s="2"/>
      <c r="P618" s="58"/>
    </row>
    <row r="619" spans="2:16" ht="14.25" customHeight="1" x14ac:dyDescent="0.3">
      <c r="B619" s="57"/>
      <c r="C619" s="56"/>
      <c r="D619" s="2"/>
      <c r="F619" s="2"/>
      <c r="G619" s="2"/>
      <c r="H619" s="2"/>
      <c r="I619" s="2"/>
      <c r="P619" s="58"/>
    </row>
    <row r="620" spans="2:16" ht="14.25" customHeight="1" x14ac:dyDescent="0.3">
      <c r="B620" s="57"/>
      <c r="C620" s="56"/>
      <c r="D620" s="2"/>
      <c r="F620" s="2"/>
      <c r="G620" s="2"/>
      <c r="H620" s="2"/>
      <c r="I620" s="2"/>
      <c r="P620" s="58"/>
    </row>
    <row r="621" spans="2:16" ht="14.25" customHeight="1" x14ac:dyDescent="0.3">
      <c r="B621" s="57"/>
      <c r="C621" s="56"/>
      <c r="D621" s="2"/>
      <c r="F621" s="2"/>
      <c r="G621" s="2"/>
      <c r="H621" s="2"/>
      <c r="I621" s="2"/>
      <c r="P621" s="58"/>
    </row>
    <row r="622" spans="2:16" ht="14.25" customHeight="1" x14ac:dyDescent="0.3">
      <c r="B622" s="57"/>
      <c r="C622" s="56"/>
      <c r="D622" s="2"/>
      <c r="F622" s="2"/>
      <c r="G622" s="2"/>
      <c r="H622" s="2"/>
      <c r="I622" s="2"/>
      <c r="P622" s="58"/>
    </row>
    <row r="623" spans="2:16" ht="14.25" customHeight="1" x14ac:dyDescent="0.3">
      <c r="B623" s="57"/>
      <c r="C623" s="56"/>
      <c r="D623" s="2"/>
      <c r="F623" s="2"/>
      <c r="G623" s="2"/>
      <c r="H623" s="2"/>
      <c r="I623" s="2"/>
      <c r="P623" s="58"/>
    </row>
    <row r="624" spans="2:16" ht="14.25" customHeight="1" x14ac:dyDescent="0.3">
      <c r="B624" s="57"/>
      <c r="C624" s="56"/>
      <c r="D624" s="2"/>
      <c r="F624" s="2"/>
      <c r="G624" s="2"/>
      <c r="H624" s="2"/>
      <c r="I624" s="2"/>
      <c r="P624" s="58"/>
    </row>
    <row r="625" spans="2:16" ht="14.25" customHeight="1" x14ac:dyDescent="0.3">
      <c r="B625" s="57"/>
      <c r="C625" s="56"/>
      <c r="D625" s="2"/>
      <c r="F625" s="2"/>
      <c r="G625" s="2"/>
      <c r="H625" s="2"/>
      <c r="I625" s="2"/>
      <c r="P625" s="58"/>
    </row>
    <row r="626" spans="2:16" ht="14.25" customHeight="1" x14ac:dyDescent="0.3">
      <c r="B626" s="57"/>
      <c r="C626" s="56"/>
      <c r="D626" s="2"/>
      <c r="F626" s="2"/>
      <c r="G626" s="2"/>
      <c r="H626" s="2"/>
      <c r="I626" s="2"/>
      <c r="P626" s="58"/>
    </row>
    <row r="627" spans="2:16" ht="14.25" customHeight="1" x14ac:dyDescent="0.3">
      <c r="B627" s="57"/>
      <c r="C627" s="56"/>
      <c r="D627" s="2"/>
      <c r="F627" s="2"/>
      <c r="G627" s="2"/>
      <c r="H627" s="2"/>
      <c r="I627" s="2"/>
      <c r="P627" s="58"/>
    </row>
    <row r="628" spans="2:16" ht="14.25" customHeight="1" x14ac:dyDescent="0.3">
      <c r="B628" s="57"/>
      <c r="C628" s="56"/>
      <c r="D628" s="2"/>
      <c r="F628" s="2"/>
      <c r="G628" s="2"/>
      <c r="H628" s="2"/>
      <c r="I628" s="2"/>
      <c r="P628" s="58"/>
    </row>
    <row r="629" spans="2:16" ht="14.25" customHeight="1" x14ac:dyDescent="0.3">
      <c r="B629" s="57"/>
      <c r="C629" s="56"/>
      <c r="D629" s="2"/>
      <c r="F629" s="2"/>
      <c r="G629" s="2"/>
      <c r="H629" s="2"/>
      <c r="I629" s="2"/>
      <c r="P629" s="58"/>
    </row>
    <row r="630" spans="2:16" ht="14.25" customHeight="1" x14ac:dyDescent="0.3">
      <c r="B630" s="57"/>
      <c r="C630" s="56"/>
      <c r="D630" s="2"/>
      <c r="F630" s="2"/>
      <c r="G630" s="2"/>
      <c r="H630" s="2"/>
      <c r="I630" s="2"/>
      <c r="P630" s="58"/>
    </row>
    <row r="631" spans="2:16" ht="14.25" customHeight="1" x14ac:dyDescent="0.3">
      <c r="B631" s="57"/>
      <c r="C631" s="56"/>
      <c r="D631" s="2"/>
      <c r="F631" s="2"/>
      <c r="G631" s="2"/>
      <c r="H631" s="2"/>
      <c r="I631" s="2"/>
      <c r="P631" s="58"/>
    </row>
    <row r="632" spans="2:16" ht="14.25" customHeight="1" x14ac:dyDescent="0.3">
      <c r="B632" s="57"/>
      <c r="C632" s="56"/>
      <c r="D632" s="2"/>
      <c r="F632" s="2"/>
      <c r="G632" s="2"/>
      <c r="H632" s="2"/>
      <c r="I632" s="2"/>
      <c r="P632" s="58"/>
    </row>
    <row r="633" spans="2:16" ht="14.25" customHeight="1" x14ac:dyDescent="0.3">
      <c r="B633" s="57"/>
      <c r="C633" s="56"/>
      <c r="D633" s="2"/>
      <c r="F633" s="2"/>
      <c r="G633" s="2"/>
      <c r="H633" s="2"/>
      <c r="I633" s="2"/>
      <c r="P633" s="58"/>
    </row>
    <row r="634" spans="2:16" ht="14.25" customHeight="1" x14ac:dyDescent="0.3">
      <c r="B634" s="57"/>
      <c r="C634" s="56"/>
      <c r="D634" s="2"/>
      <c r="F634" s="2"/>
      <c r="G634" s="2"/>
      <c r="H634" s="2"/>
      <c r="I634" s="2"/>
      <c r="P634" s="58"/>
    </row>
    <row r="635" spans="2:16" ht="14.25" customHeight="1" x14ac:dyDescent="0.3">
      <c r="B635" s="57"/>
      <c r="C635" s="56"/>
      <c r="D635" s="2"/>
      <c r="F635" s="2"/>
      <c r="G635" s="2"/>
      <c r="H635" s="2"/>
      <c r="I635" s="2"/>
      <c r="P635" s="58"/>
    </row>
    <row r="636" spans="2:16" ht="14.25" customHeight="1" x14ac:dyDescent="0.3">
      <c r="B636" s="57"/>
      <c r="C636" s="56"/>
      <c r="D636" s="2"/>
      <c r="F636" s="2"/>
      <c r="G636" s="2"/>
      <c r="H636" s="2"/>
      <c r="I636" s="2"/>
      <c r="P636" s="58"/>
    </row>
    <row r="637" spans="2:16" ht="14.25" customHeight="1" x14ac:dyDescent="0.3">
      <c r="B637" s="57"/>
      <c r="C637" s="56"/>
      <c r="D637" s="2"/>
      <c r="F637" s="2"/>
      <c r="G637" s="2"/>
      <c r="H637" s="2"/>
      <c r="I637" s="2"/>
      <c r="P637" s="58"/>
    </row>
    <row r="638" spans="2:16" ht="14.25" customHeight="1" x14ac:dyDescent="0.3">
      <c r="B638" s="57"/>
      <c r="C638" s="56"/>
      <c r="D638" s="2"/>
      <c r="F638" s="2"/>
      <c r="G638" s="2"/>
      <c r="H638" s="2"/>
      <c r="I638" s="2"/>
      <c r="P638" s="58"/>
    </row>
    <row r="639" spans="2:16" ht="14.25" customHeight="1" x14ac:dyDescent="0.3">
      <c r="B639" s="57"/>
      <c r="C639" s="56"/>
      <c r="D639" s="2"/>
      <c r="F639" s="2"/>
      <c r="G639" s="2"/>
      <c r="H639" s="2"/>
      <c r="I639" s="2"/>
      <c r="P639" s="58"/>
    </row>
    <row r="640" spans="2:16" ht="14.25" customHeight="1" x14ac:dyDescent="0.3">
      <c r="B640" s="57"/>
      <c r="C640" s="56"/>
      <c r="D640" s="2"/>
      <c r="F640" s="2"/>
      <c r="G640" s="2"/>
      <c r="H640" s="2"/>
      <c r="I640" s="2"/>
      <c r="P640" s="58"/>
    </row>
    <row r="641" spans="2:16" ht="14.25" customHeight="1" x14ac:dyDescent="0.3">
      <c r="B641" s="57"/>
      <c r="C641" s="56"/>
      <c r="D641" s="2"/>
      <c r="F641" s="2"/>
      <c r="G641" s="2"/>
      <c r="H641" s="2"/>
      <c r="I641" s="2"/>
      <c r="P641" s="58"/>
    </row>
    <row r="642" spans="2:16" ht="14.25" customHeight="1" x14ac:dyDescent="0.3">
      <c r="B642" s="57"/>
      <c r="C642" s="56"/>
      <c r="D642" s="2"/>
      <c r="F642" s="2"/>
      <c r="G642" s="2"/>
      <c r="H642" s="2"/>
      <c r="I642" s="2"/>
      <c r="P642" s="58"/>
    </row>
    <row r="643" spans="2:16" ht="14.25" customHeight="1" x14ac:dyDescent="0.3">
      <c r="B643" s="57"/>
      <c r="C643" s="56"/>
      <c r="D643" s="2"/>
      <c r="F643" s="2"/>
      <c r="G643" s="2"/>
      <c r="H643" s="2"/>
      <c r="I643" s="2"/>
      <c r="P643" s="58"/>
    </row>
    <row r="644" spans="2:16" ht="14.25" customHeight="1" x14ac:dyDescent="0.3">
      <c r="B644" s="57"/>
      <c r="C644" s="56"/>
      <c r="D644" s="2"/>
      <c r="F644" s="2"/>
      <c r="G644" s="2"/>
      <c r="H644" s="2"/>
      <c r="I644" s="2"/>
      <c r="P644" s="58"/>
    </row>
    <row r="645" spans="2:16" ht="14.25" customHeight="1" x14ac:dyDescent="0.3">
      <c r="B645" s="57"/>
      <c r="C645" s="56"/>
      <c r="D645" s="2"/>
      <c r="F645" s="2"/>
      <c r="G645" s="2"/>
      <c r="H645" s="2"/>
      <c r="I645" s="2"/>
      <c r="P645" s="58"/>
    </row>
    <row r="646" spans="2:16" ht="14.25" customHeight="1" x14ac:dyDescent="0.3">
      <c r="B646" s="57"/>
      <c r="C646" s="56"/>
      <c r="D646" s="2"/>
      <c r="F646" s="2"/>
      <c r="G646" s="2"/>
      <c r="H646" s="2"/>
      <c r="I646" s="2"/>
      <c r="P646" s="58"/>
    </row>
    <row r="647" spans="2:16" ht="14.25" customHeight="1" x14ac:dyDescent="0.3">
      <c r="B647" s="57"/>
      <c r="C647" s="56"/>
      <c r="D647" s="2"/>
      <c r="F647" s="2"/>
      <c r="G647" s="2"/>
      <c r="H647" s="2"/>
      <c r="I647" s="2"/>
      <c r="P647" s="58"/>
    </row>
    <row r="648" spans="2:16" ht="14.25" customHeight="1" x14ac:dyDescent="0.3">
      <c r="B648" s="57"/>
      <c r="C648" s="56"/>
      <c r="D648" s="2"/>
      <c r="F648" s="2"/>
      <c r="G648" s="2"/>
      <c r="H648" s="2"/>
      <c r="I648" s="2"/>
      <c r="P648" s="58"/>
    </row>
    <row r="649" spans="2:16" ht="14.25" customHeight="1" x14ac:dyDescent="0.3">
      <c r="B649" s="57"/>
      <c r="C649" s="56"/>
      <c r="D649" s="2"/>
      <c r="F649" s="2"/>
      <c r="G649" s="2"/>
      <c r="H649" s="2"/>
      <c r="I649" s="2"/>
      <c r="P649" s="58"/>
    </row>
    <row r="650" spans="2:16" ht="14.25" customHeight="1" x14ac:dyDescent="0.3">
      <c r="B650" s="57"/>
      <c r="C650" s="56"/>
      <c r="D650" s="2"/>
      <c r="F650" s="2"/>
      <c r="G650" s="2"/>
      <c r="H650" s="2"/>
      <c r="I650" s="2"/>
      <c r="P650" s="58"/>
    </row>
    <row r="651" spans="2:16" ht="14.25" customHeight="1" x14ac:dyDescent="0.3">
      <c r="B651" s="57"/>
      <c r="C651" s="56"/>
      <c r="D651" s="2"/>
      <c r="F651" s="2"/>
      <c r="G651" s="2"/>
      <c r="H651" s="2"/>
      <c r="I651" s="2"/>
      <c r="P651" s="58"/>
    </row>
    <row r="652" spans="2:16" ht="14.25" customHeight="1" x14ac:dyDescent="0.3">
      <c r="B652" s="57"/>
      <c r="C652" s="56"/>
      <c r="D652" s="2"/>
      <c r="F652" s="2"/>
      <c r="G652" s="2"/>
      <c r="H652" s="2"/>
      <c r="I652" s="2"/>
      <c r="P652" s="58"/>
    </row>
    <row r="653" spans="2:16" ht="14.25" customHeight="1" x14ac:dyDescent="0.3">
      <c r="B653" s="57"/>
      <c r="C653" s="56"/>
      <c r="D653" s="2"/>
      <c r="F653" s="2"/>
      <c r="G653" s="2"/>
      <c r="H653" s="2"/>
      <c r="I653" s="2"/>
      <c r="P653" s="58"/>
    </row>
    <row r="654" spans="2:16" ht="14.25" customHeight="1" x14ac:dyDescent="0.3">
      <c r="B654" s="57"/>
      <c r="C654" s="56"/>
      <c r="D654" s="2"/>
      <c r="F654" s="2"/>
      <c r="G654" s="2"/>
      <c r="H654" s="2"/>
      <c r="I654" s="2"/>
      <c r="P654" s="58"/>
    </row>
    <row r="655" spans="2:16" ht="14.25" customHeight="1" x14ac:dyDescent="0.3">
      <c r="B655" s="57"/>
      <c r="C655" s="56"/>
      <c r="D655" s="2"/>
      <c r="F655" s="2"/>
      <c r="G655" s="2"/>
      <c r="H655" s="2"/>
      <c r="I655" s="2"/>
      <c r="P655" s="58"/>
    </row>
    <row r="656" spans="2:16" ht="14.25" customHeight="1" x14ac:dyDescent="0.3">
      <c r="B656" s="57"/>
      <c r="C656" s="56"/>
      <c r="D656" s="2"/>
      <c r="F656" s="2"/>
      <c r="G656" s="2"/>
      <c r="H656" s="2"/>
      <c r="I656" s="2"/>
      <c r="P656" s="58"/>
    </row>
    <row r="657" spans="2:16" ht="14.25" customHeight="1" x14ac:dyDescent="0.3">
      <c r="B657" s="57"/>
      <c r="C657" s="56"/>
      <c r="D657" s="2"/>
      <c r="F657" s="2"/>
      <c r="G657" s="2"/>
      <c r="H657" s="2"/>
      <c r="I657" s="2"/>
      <c r="P657" s="58"/>
    </row>
    <row r="658" spans="2:16" ht="14.25" customHeight="1" x14ac:dyDescent="0.3">
      <c r="B658" s="57"/>
      <c r="C658" s="56"/>
      <c r="D658" s="2"/>
      <c r="F658" s="2"/>
      <c r="G658" s="2"/>
      <c r="H658" s="2"/>
      <c r="I658" s="2"/>
      <c r="P658" s="58"/>
    </row>
    <row r="659" spans="2:16" ht="14.25" customHeight="1" x14ac:dyDescent="0.3">
      <c r="B659" s="57"/>
      <c r="C659" s="56"/>
      <c r="D659" s="2"/>
      <c r="F659" s="2"/>
      <c r="G659" s="2"/>
      <c r="H659" s="2"/>
      <c r="I659" s="2"/>
      <c r="P659" s="58"/>
    </row>
    <row r="660" spans="2:16" ht="14.25" customHeight="1" x14ac:dyDescent="0.3">
      <c r="B660" s="57"/>
      <c r="C660" s="56"/>
      <c r="D660" s="2"/>
      <c r="F660" s="2"/>
      <c r="G660" s="2"/>
      <c r="H660" s="2"/>
      <c r="I660" s="2"/>
      <c r="P660" s="58"/>
    </row>
    <row r="661" spans="2:16" ht="14.25" customHeight="1" x14ac:dyDescent="0.3">
      <c r="B661" s="57"/>
      <c r="C661" s="56"/>
      <c r="D661" s="2"/>
      <c r="F661" s="2"/>
      <c r="G661" s="2"/>
      <c r="H661" s="2"/>
      <c r="I661" s="2"/>
      <c r="P661" s="58"/>
    </row>
    <row r="662" spans="2:16" ht="14.25" customHeight="1" x14ac:dyDescent="0.3">
      <c r="B662" s="57"/>
      <c r="C662" s="56"/>
      <c r="D662" s="2"/>
      <c r="F662" s="2"/>
      <c r="G662" s="2"/>
      <c r="H662" s="2"/>
      <c r="I662" s="2"/>
      <c r="P662" s="58"/>
    </row>
    <row r="663" spans="2:16" ht="14.25" customHeight="1" x14ac:dyDescent="0.3">
      <c r="B663" s="57"/>
      <c r="C663" s="56"/>
      <c r="D663" s="2"/>
      <c r="F663" s="2"/>
      <c r="G663" s="2"/>
      <c r="H663" s="2"/>
      <c r="I663" s="2"/>
      <c r="P663" s="58"/>
    </row>
    <row r="664" spans="2:16" ht="14.25" customHeight="1" x14ac:dyDescent="0.3">
      <c r="B664" s="57"/>
      <c r="C664" s="56"/>
      <c r="D664" s="2"/>
      <c r="F664" s="2"/>
      <c r="G664" s="2"/>
      <c r="H664" s="2"/>
      <c r="I664" s="2"/>
      <c r="P664" s="58"/>
    </row>
    <row r="665" spans="2:16" ht="14.25" customHeight="1" x14ac:dyDescent="0.3">
      <c r="B665" s="57"/>
      <c r="C665" s="56"/>
      <c r="D665" s="2"/>
      <c r="F665" s="2"/>
      <c r="G665" s="2"/>
      <c r="H665" s="2"/>
      <c r="I665" s="2"/>
      <c r="P665" s="58"/>
    </row>
    <row r="666" spans="2:16" ht="14.25" customHeight="1" x14ac:dyDescent="0.3">
      <c r="B666" s="57"/>
      <c r="C666" s="56"/>
      <c r="D666" s="2"/>
      <c r="F666" s="2"/>
      <c r="G666" s="2"/>
      <c r="H666" s="2"/>
      <c r="I666" s="2"/>
      <c r="P666" s="58"/>
    </row>
    <row r="667" spans="2:16" ht="14.25" customHeight="1" x14ac:dyDescent="0.3">
      <c r="B667" s="57"/>
      <c r="C667" s="56"/>
      <c r="D667" s="2"/>
      <c r="F667" s="2"/>
      <c r="G667" s="2"/>
      <c r="H667" s="2"/>
      <c r="I667" s="2"/>
      <c r="P667" s="58"/>
    </row>
    <row r="668" spans="2:16" ht="14.25" customHeight="1" x14ac:dyDescent="0.3">
      <c r="B668" s="57"/>
      <c r="C668" s="56"/>
      <c r="D668" s="2"/>
      <c r="F668" s="2"/>
      <c r="G668" s="2"/>
      <c r="H668" s="2"/>
      <c r="I668" s="2"/>
      <c r="P668" s="58"/>
    </row>
    <row r="669" spans="2:16" ht="14.25" customHeight="1" x14ac:dyDescent="0.3">
      <c r="B669" s="57"/>
      <c r="C669" s="56"/>
      <c r="D669" s="2"/>
      <c r="F669" s="2"/>
      <c r="G669" s="2"/>
      <c r="H669" s="2"/>
      <c r="I669" s="2"/>
      <c r="P669" s="58"/>
    </row>
    <row r="670" spans="2:16" ht="14.25" customHeight="1" x14ac:dyDescent="0.3">
      <c r="B670" s="57"/>
      <c r="C670" s="56"/>
      <c r="D670" s="2"/>
      <c r="F670" s="2"/>
      <c r="G670" s="2"/>
      <c r="H670" s="2"/>
      <c r="I670" s="2"/>
      <c r="P670" s="58"/>
    </row>
    <row r="671" spans="2:16" ht="14.25" customHeight="1" x14ac:dyDescent="0.3">
      <c r="B671" s="57"/>
      <c r="C671" s="56"/>
      <c r="D671" s="2"/>
      <c r="F671" s="2"/>
      <c r="G671" s="2"/>
      <c r="H671" s="2"/>
      <c r="I671" s="2"/>
      <c r="P671" s="58"/>
    </row>
    <row r="672" spans="2:16" ht="14.25" customHeight="1" x14ac:dyDescent="0.3">
      <c r="B672" s="57"/>
      <c r="C672" s="56"/>
      <c r="D672" s="2"/>
      <c r="F672" s="2"/>
      <c r="G672" s="2"/>
      <c r="H672" s="2"/>
      <c r="I672" s="2"/>
      <c r="P672" s="58"/>
    </row>
    <row r="673" spans="2:16" ht="14.25" customHeight="1" x14ac:dyDescent="0.3">
      <c r="B673" s="57"/>
      <c r="C673" s="56"/>
      <c r="D673" s="2"/>
      <c r="F673" s="2"/>
      <c r="G673" s="2"/>
      <c r="H673" s="2"/>
      <c r="I673" s="2"/>
      <c r="P673" s="58"/>
    </row>
    <row r="674" spans="2:16" ht="14.25" customHeight="1" x14ac:dyDescent="0.3">
      <c r="B674" s="57"/>
      <c r="C674" s="56"/>
      <c r="D674" s="2"/>
      <c r="F674" s="2"/>
      <c r="G674" s="2"/>
      <c r="H674" s="2"/>
      <c r="I674" s="2"/>
      <c r="P674" s="58"/>
    </row>
    <row r="675" spans="2:16" ht="14.25" customHeight="1" x14ac:dyDescent="0.3">
      <c r="B675" s="57"/>
      <c r="C675" s="56"/>
      <c r="D675" s="2"/>
      <c r="F675" s="2"/>
      <c r="G675" s="2"/>
      <c r="H675" s="2"/>
      <c r="I675" s="2"/>
      <c r="P675" s="58"/>
    </row>
    <row r="676" spans="2:16" ht="14.25" customHeight="1" x14ac:dyDescent="0.3">
      <c r="B676" s="57"/>
      <c r="C676" s="56"/>
      <c r="D676" s="2"/>
      <c r="F676" s="2"/>
      <c r="G676" s="2"/>
      <c r="H676" s="2"/>
      <c r="I676" s="2"/>
      <c r="P676" s="58"/>
    </row>
    <row r="677" spans="2:16" ht="14.25" customHeight="1" x14ac:dyDescent="0.3">
      <c r="B677" s="57"/>
      <c r="C677" s="56"/>
      <c r="D677" s="2"/>
      <c r="F677" s="2"/>
      <c r="G677" s="2"/>
      <c r="H677" s="2"/>
      <c r="I677" s="2"/>
      <c r="P677" s="58"/>
    </row>
    <row r="678" spans="2:16" ht="14.25" customHeight="1" x14ac:dyDescent="0.3">
      <c r="B678" s="57"/>
      <c r="C678" s="56"/>
      <c r="D678" s="2"/>
      <c r="F678" s="2"/>
      <c r="G678" s="2"/>
      <c r="H678" s="2"/>
      <c r="I678" s="2"/>
      <c r="P678" s="58"/>
    </row>
    <row r="679" spans="2:16" ht="14.25" customHeight="1" x14ac:dyDescent="0.3">
      <c r="B679" s="57"/>
      <c r="C679" s="56"/>
      <c r="D679" s="2"/>
      <c r="F679" s="2"/>
      <c r="G679" s="2"/>
      <c r="H679" s="2"/>
      <c r="I679" s="2"/>
      <c r="P679" s="58"/>
    </row>
    <row r="680" spans="2:16" ht="14.25" customHeight="1" x14ac:dyDescent="0.3">
      <c r="B680" s="57"/>
      <c r="C680" s="56"/>
      <c r="D680" s="2"/>
      <c r="F680" s="2"/>
      <c r="G680" s="2"/>
      <c r="H680" s="2"/>
      <c r="I680" s="2"/>
      <c r="P680" s="58"/>
    </row>
    <row r="681" spans="2:16" ht="14.25" customHeight="1" x14ac:dyDescent="0.3">
      <c r="B681" s="57"/>
      <c r="C681" s="56"/>
      <c r="D681" s="2"/>
      <c r="F681" s="2"/>
      <c r="G681" s="2"/>
      <c r="H681" s="2"/>
      <c r="I681" s="2"/>
      <c r="P681" s="58"/>
    </row>
    <row r="682" spans="2:16" ht="14.25" customHeight="1" x14ac:dyDescent="0.3">
      <c r="B682" s="57"/>
      <c r="C682" s="56"/>
      <c r="D682" s="2"/>
      <c r="F682" s="2"/>
      <c r="G682" s="2"/>
      <c r="H682" s="2"/>
      <c r="I682" s="2"/>
      <c r="P682" s="58"/>
    </row>
    <row r="683" spans="2:16" ht="14.25" customHeight="1" x14ac:dyDescent="0.3">
      <c r="B683" s="57"/>
      <c r="C683" s="56"/>
      <c r="D683" s="2"/>
      <c r="F683" s="2"/>
      <c r="G683" s="2"/>
      <c r="H683" s="2"/>
      <c r="I683" s="2"/>
      <c r="P683" s="58"/>
    </row>
    <row r="684" spans="2:16" ht="14.25" customHeight="1" x14ac:dyDescent="0.3">
      <c r="B684" s="57"/>
      <c r="C684" s="56"/>
      <c r="D684" s="2"/>
      <c r="F684" s="2"/>
      <c r="G684" s="2"/>
      <c r="H684" s="2"/>
      <c r="I684" s="2"/>
      <c r="P684" s="58"/>
    </row>
    <row r="685" spans="2:16" ht="14.25" customHeight="1" x14ac:dyDescent="0.3">
      <c r="B685" s="57"/>
      <c r="C685" s="56"/>
      <c r="D685" s="2"/>
      <c r="F685" s="2"/>
      <c r="G685" s="2"/>
      <c r="H685" s="2"/>
      <c r="I685" s="2"/>
      <c r="P685" s="58"/>
    </row>
    <row r="686" spans="2:16" ht="14.25" customHeight="1" x14ac:dyDescent="0.3">
      <c r="B686" s="57"/>
      <c r="C686" s="56"/>
      <c r="D686" s="2"/>
      <c r="F686" s="2"/>
      <c r="G686" s="2"/>
      <c r="H686" s="2"/>
      <c r="I686" s="2"/>
      <c r="P686" s="58"/>
    </row>
    <row r="687" spans="2:16" ht="14.25" customHeight="1" x14ac:dyDescent="0.3">
      <c r="B687" s="57"/>
      <c r="C687" s="56"/>
      <c r="D687" s="2"/>
      <c r="F687" s="2"/>
      <c r="G687" s="2"/>
      <c r="H687" s="2"/>
      <c r="I687" s="2"/>
      <c r="P687" s="58"/>
    </row>
    <row r="688" spans="2:16" ht="14.25" customHeight="1" x14ac:dyDescent="0.3">
      <c r="B688" s="57"/>
      <c r="C688" s="56"/>
      <c r="D688" s="2"/>
      <c r="F688" s="2"/>
      <c r="G688" s="2"/>
      <c r="H688" s="2"/>
      <c r="I688" s="2"/>
      <c r="P688" s="58"/>
    </row>
    <row r="689" spans="2:16" ht="14.25" customHeight="1" x14ac:dyDescent="0.3">
      <c r="B689" s="57"/>
      <c r="C689" s="56"/>
      <c r="D689" s="2"/>
      <c r="F689" s="2"/>
      <c r="G689" s="2"/>
      <c r="H689" s="2"/>
      <c r="I689" s="2"/>
      <c r="P689" s="58"/>
    </row>
    <row r="690" spans="2:16" ht="14.25" customHeight="1" x14ac:dyDescent="0.3">
      <c r="B690" s="57"/>
      <c r="C690" s="56"/>
      <c r="D690" s="2"/>
      <c r="F690" s="2"/>
      <c r="G690" s="2"/>
      <c r="H690" s="2"/>
      <c r="I690" s="2"/>
      <c r="P690" s="58"/>
    </row>
    <row r="691" spans="2:16" ht="14.25" customHeight="1" x14ac:dyDescent="0.3">
      <c r="B691" s="57"/>
      <c r="C691" s="56"/>
      <c r="D691" s="2"/>
      <c r="F691" s="2"/>
      <c r="G691" s="2"/>
      <c r="H691" s="2"/>
      <c r="I691" s="2"/>
      <c r="P691" s="58"/>
    </row>
    <row r="692" spans="2:16" ht="14.25" customHeight="1" x14ac:dyDescent="0.3">
      <c r="B692" s="57"/>
      <c r="C692" s="56"/>
      <c r="D692" s="2"/>
      <c r="F692" s="2"/>
      <c r="G692" s="2"/>
      <c r="H692" s="2"/>
      <c r="I692" s="2"/>
      <c r="P692" s="58"/>
    </row>
    <row r="693" spans="2:16" ht="14.25" customHeight="1" x14ac:dyDescent="0.3">
      <c r="B693" s="57"/>
      <c r="C693" s="56"/>
      <c r="D693" s="2"/>
      <c r="F693" s="2"/>
      <c r="G693" s="2"/>
      <c r="H693" s="2"/>
      <c r="I693" s="2"/>
      <c r="P693" s="58"/>
    </row>
    <row r="694" spans="2:16" ht="14.25" customHeight="1" x14ac:dyDescent="0.3">
      <c r="B694" s="57"/>
      <c r="C694" s="56"/>
      <c r="D694" s="2"/>
      <c r="F694" s="2"/>
      <c r="G694" s="2"/>
      <c r="H694" s="2"/>
      <c r="I694" s="2"/>
      <c r="P694" s="58"/>
    </row>
    <row r="695" spans="2:16" ht="14.25" customHeight="1" x14ac:dyDescent="0.3">
      <c r="B695" s="57"/>
      <c r="C695" s="56"/>
      <c r="D695" s="2"/>
      <c r="F695" s="2"/>
      <c r="G695" s="2"/>
      <c r="H695" s="2"/>
      <c r="I695" s="2"/>
      <c r="P695" s="58"/>
    </row>
    <row r="696" spans="2:16" ht="14.25" customHeight="1" x14ac:dyDescent="0.3">
      <c r="B696" s="57"/>
      <c r="C696" s="56"/>
      <c r="D696" s="2"/>
      <c r="F696" s="2"/>
      <c r="G696" s="2"/>
      <c r="H696" s="2"/>
      <c r="I696" s="2"/>
      <c r="P696" s="58"/>
    </row>
    <row r="697" spans="2:16" ht="14.25" customHeight="1" x14ac:dyDescent="0.3">
      <c r="B697" s="57"/>
      <c r="C697" s="56"/>
      <c r="D697" s="2"/>
      <c r="F697" s="2"/>
      <c r="G697" s="2"/>
      <c r="H697" s="2"/>
      <c r="I697" s="2"/>
      <c r="P697" s="58"/>
    </row>
    <row r="698" spans="2:16" ht="14.25" customHeight="1" x14ac:dyDescent="0.3">
      <c r="B698" s="57"/>
      <c r="C698" s="56"/>
      <c r="D698" s="2"/>
      <c r="F698" s="2"/>
      <c r="G698" s="2"/>
      <c r="H698" s="2"/>
      <c r="I698" s="2"/>
      <c r="P698" s="58"/>
    </row>
    <row r="699" spans="2:16" ht="14.25" customHeight="1" x14ac:dyDescent="0.3">
      <c r="B699" s="57"/>
      <c r="C699" s="56"/>
      <c r="D699" s="2"/>
      <c r="F699" s="2"/>
      <c r="G699" s="2"/>
      <c r="H699" s="2"/>
      <c r="I699" s="2"/>
      <c r="P699" s="58"/>
    </row>
    <row r="700" spans="2:16" ht="14.25" customHeight="1" x14ac:dyDescent="0.3">
      <c r="B700" s="57"/>
      <c r="C700" s="56"/>
      <c r="D700" s="2"/>
      <c r="F700" s="2"/>
      <c r="G700" s="2"/>
      <c r="H700" s="2"/>
      <c r="I700" s="2"/>
      <c r="P700" s="58"/>
    </row>
    <row r="701" spans="2:16" ht="14.25" customHeight="1" x14ac:dyDescent="0.3">
      <c r="B701" s="57"/>
      <c r="C701" s="56"/>
      <c r="D701" s="2"/>
      <c r="F701" s="2"/>
      <c r="G701" s="2"/>
      <c r="H701" s="2"/>
      <c r="I701" s="2"/>
      <c r="P701" s="58"/>
    </row>
    <row r="702" spans="2:16" ht="14.25" customHeight="1" x14ac:dyDescent="0.3">
      <c r="B702" s="57"/>
      <c r="C702" s="56"/>
      <c r="D702" s="2"/>
      <c r="F702" s="2"/>
      <c r="G702" s="2"/>
      <c r="H702" s="2"/>
      <c r="I702" s="2"/>
      <c r="P702" s="58"/>
    </row>
    <row r="703" spans="2:16" ht="14.25" customHeight="1" x14ac:dyDescent="0.3">
      <c r="B703" s="57"/>
      <c r="C703" s="56"/>
      <c r="D703" s="2"/>
      <c r="F703" s="2"/>
      <c r="G703" s="2"/>
      <c r="H703" s="2"/>
      <c r="I703" s="2"/>
      <c r="P703" s="58"/>
    </row>
    <row r="704" spans="2:16" ht="14.25" customHeight="1" x14ac:dyDescent="0.3">
      <c r="B704" s="57"/>
      <c r="C704" s="56"/>
      <c r="D704" s="2"/>
      <c r="F704" s="2"/>
      <c r="G704" s="2"/>
      <c r="H704" s="2"/>
      <c r="I704" s="2"/>
      <c r="P704" s="58"/>
    </row>
    <row r="705" spans="2:16" ht="14.25" customHeight="1" x14ac:dyDescent="0.3">
      <c r="B705" s="57"/>
      <c r="C705" s="56"/>
      <c r="D705" s="2"/>
      <c r="F705" s="2"/>
      <c r="G705" s="2"/>
      <c r="H705" s="2"/>
      <c r="I705" s="2"/>
      <c r="P705" s="58"/>
    </row>
    <row r="706" spans="2:16" ht="14.25" customHeight="1" x14ac:dyDescent="0.3">
      <c r="B706" s="57"/>
      <c r="C706" s="56"/>
      <c r="D706" s="2"/>
      <c r="F706" s="2"/>
      <c r="G706" s="2"/>
      <c r="H706" s="2"/>
      <c r="I706" s="2"/>
      <c r="P706" s="58"/>
    </row>
    <row r="707" spans="2:16" ht="14.25" customHeight="1" x14ac:dyDescent="0.3">
      <c r="B707" s="57"/>
      <c r="C707" s="56"/>
      <c r="D707" s="2"/>
      <c r="F707" s="2"/>
      <c r="G707" s="2"/>
      <c r="H707" s="2"/>
      <c r="I707" s="2"/>
      <c r="P707" s="58"/>
    </row>
    <row r="708" spans="2:16" ht="14.25" customHeight="1" x14ac:dyDescent="0.3">
      <c r="B708" s="57"/>
      <c r="C708" s="56"/>
      <c r="D708" s="2"/>
      <c r="F708" s="2"/>
      <c r="G708" s="2"/>
      <c r="H708" s="2"/>
      <c r="I708" s="2"/>
      <c r="P708" s="58"/>
    </row>
    <row r="709" spans="2:16" ht="14.25" customHeight="1" x14ac:dyDescent="0.3">
      <c r="B709" s="57"/>
      <c r="C709" s="56"/>
      <c r="D709" s="2"/>
      <c r="F709" s="2"/>
      <c r="G709" s="2"/>
      <c r="H709" s="2"/>
      <c r="I709" s="2"/>
      <c r="P709" s="58"/>
    </row>
    <row r="710" spans="2:16" ht="14.25" customHeight="1" x14ac:dyDescent="0.3">
      <c r="B710" s="57"/>
      <c r="C710" s="56"/>
      <c r="D710" s="2"/>
      <c r="F710" s="2"/>
      <c r="G710" s="2"/>
      <c r="H710" s="2"/>
      <c r="I710" s="2"/>
      <c r="P710" s="58"/>
    </row>
    <row r="711" spans="2:16" ht="14.25" customHeight="1" x14ac:dyDescent="0.3">
      <c r="B711" s="57"/>
      <c r="C711" s="56"/>
      <c r="D711" s="2"/>
      <c r="F711" s="2"/>
      <c r="G711" s="2"/>
      <c r="H711" s="2"/>
      <c r="I711" s="2"/>
      <c r="P711" s="58"/>
    </row>
    <row r="712" spans="2:16" ht="14.25" customHeight="1" x14ac:dyDescent="0.3">
      <c r="B712" s="57"/>
      <c r="C712" s="56"/>
      <c r="D712" s="2"/>
      <c r="F712" s="2"/>
      <c r="G712" s="2"/>
      <c r="H712" s="2"/>
      <c r="I712" s="2"/>
      <c r="P712" s="58"/>
    </row>
    <row r="713" spans="2:16" ht="14.25" customHeight="1" x14ac:dyDescent="0.3">
      <c r="B713" s="57"/>
      <c r="C713" s="56"/>
      <c r="D713" s="2"/>
      <c r="F713" s="2"/>
      <c r="G713" s="2"/>
      <c r="H713" s="2"/>
      <c r="I713" s="2"/>
      <c r="P713" s="58"/>
    </row>
    <row r="714" spans="2:16" ht="14.25" customHeight="1" x14ac:dyDescent="0.3">
      <c r="B714" s="57"/>
      <c r="C714" s="56"/>
      <c r="D714" s="2"/>
      <c r="F714" s="2"/>
      <c r="G714" s="2"/>
      <c r="H714" s="2"/>
      <c r="I714" s="2"/>
      <c r="P714" s="58"/>
    </row>
    <row r="715" spans="2:16" ht="14.25" customHeight="1" x14ac:dyDescent="0.3">
      <c r="B715" s="57"/>
      <c r="C715" s="56"/>
      <c r="D715" s="2"/>
      <c r="F715" s="2"/>
      <c r="G715" s="2"/>
      <c r="H715" s="2"/>
      <c r="I715" s="2"/>
      <c r="P715" s="58"/>
    </row>
    <row r="716" spans="2:16" ht="14.25" customHeight="1" x14ac:dyDescent="0.3">
      <c r="B716" s="57"/>
      <c r="C716" s="56"/>
      <c r="D716" s="2"/>
      <c r="F716" s="2"/>
      <c r="G716" s="2"/>
      <c r="H716" s="2"/>
      <c r="I716" s="2"/>
      <c r="P716" s="58"/>
    </row>
    <row r="717" spans="2:16" ht="14.25" customHeight="1" x14ac:dyDescent="0.3">
      <c r="B717" s="57"/>
      <c r="C717" s="56"/>
      <c r="D717" s="2"/>
      <c r="F717" s="2"/>
      <c r="G717" s="2"/>
      <c r="H717" s="2"/>
      <c r="I717" s="2"/>
      <c r="P717" s="58"/>
    </row>
    <row r="718" spans="2:16" ht="14.25" customHeight="1" x14ac:dyDescent="0.3">
      <c r="B718" s="57"/>
      <c r="C718" s="56"/>
      <c r="D718" s="2"/>
      <c r="F718" s="2"/>
      <c r="G718" s="2"/>
      <c r="H718" s="2"/>
      <c r="I718" s="2"/>
      <c r="P718" s="58"/>
    </row>
    <row r="719" spans="2:16" ht="14.25" customHeight="1" x14ac:dyDescent="0.3">
      <c r="B719" s="57"/>
      <c r="C719" s="56"/>
      <c r="D719" s="2"/>
      <c r="F719" s="2"/>
      <c r="G719" s="2"/>
      <c r="H719" s="2"/>
      <c r="I719" s="2"/>
      <c r="P719" s="58"/>
    </row>
    <row r="720" spans="2:16" ht="14.25" customHeight="1" x14ac:dyDescent="0.3">
      <c r="B720" s="57"/>
      <c r="C720" s="56"/>
      <c r="D720" s="2"/>
      <c r="F720" s="2"/>
      <c r="G720" s="2"/>
      <c r="H720" s="2"/>
      <c r="I720" s="2"/>
      <c r="P720" s="58"/>
    </row>
    <row r="721" spans="2:16" ht="14.25" customHeight="1" x14ac:dyDescent="0.3">
      <c r="B721" s="57"/>
      <c r="C721" s="56"/>
      <c r="D721" s="2"/>
      <c r="F721" s="2"/>
      <c r="G721" s="2"/>
      <c r="H721" s="2"/>
      <c r="I721" s="2"/>
      <c r="P721" s="58"/>
    </row>
    <row r="722" spans="2:16" ht="14.25" customHeight="1" x14ac:dyDescent="0.3">
      <c r="B722" s="57"/>
      <c r="C722" s="56"/>
      <c r="D722" s="2"/>
      <c r="F722" s="2"/>
      <c r="G722" s="2"/>
      <c r="H722" s="2"/>
      <c r="I722" s="2"/>
      <c r="P722" s="58"/>
    </row>
    <row r="723" spans="2:16" ht="14.25" customHeight="1" x14ac:dyDescent="0.3">
      <c r="B723" s="57"/>
      <c r="C723" s="56"/>
      <c r="D723" s="2"/>
      <c r="F723" s="2"/>
      <c r="G723" s="2"/>
      <c r="H723" s="2"/>
      <c r="I723" s="2"/>
      <c r="P723" s="58"/>
    </row>
    <row r="724" spans="2:16" ht="14.25" customHeight="1" x14ac:dyDescent="0.3">
      <c r="B724" s="57"/>
      <c r="C724" s="56"/>
      <c r="D724" s="2"/>
      <c r="F724" s="2"/>
      <c r="G724" s="2"/>
      <c r="H724" s="2"/>
      <c r="I724" s="2"/>
      <c r="P724" s="58"/>
    </row>
    <row r="725" spans="2:16" ht="14.25" customHeight="1" x14ac:dyDescent="0.3">
      <c r="B725" s="57"/>
      <c r="C725" s="56"/>
      <c r="D725" s="2"/>
      <c r="F725" s="2"/>
      <c r="G725" s="2"/>
      <c r="H725" s="2"/>
      <c r="I725" s="2"/>
      <c r="P725" s="58"/>
    </row>
    <row r="726" spans="2:16" ht="14.25" customHeight="1" x14ac:dyDescent="0.3">
      <c r="B726" s="57"/>
      <c r="C726" s="56"/>
      <c r="D726" s="2"/>
      <c r="F726" s="2"/>
      <c r="G726" s="2"/>
      <c r="H726" s="2"/>
      <c r="I726" s="2"/>
      <c r="P726" s="58"/>
    </row>
    <row r="727" spans="2:16" ht="14.25" customHeight="1" x14ac:dyDescent="0.3">
      <c r="B727" s="57"/>
      <c r="C727" s="56"/>
      <c r="D727" s="2"/>
      <c r="F727" s="2"/>
      <c r="G727" s="2"/>
      <c r="H727" s="2"/>
      <c r="I727" s="2"/>
      <c r="P727" s="58"/>
    </row>
    <row r="728" spans="2:16" ht="14.25" customHeight="1" x14ac:dyDescent="0.3">
      <c r="B728" s="57"/>
      <c r="C728" s="56"/>
      <c r="D728" s="2"/>
      <c r="F728" s="2"/>
      <c r="G728" s="2"/>
      <c r="H728" s="2"/>
      <c r="I728" s="2"/>
      <c r="P728" s="58"/>
    </row>
    <row r="729" spans="2:16" ht="14.25" customHeight="1" x14ac:dyDescent="0.3">
      <c r="B729" s="57"/>
      <c r="C729" s="56"/>
      <c r="D729" s="2"/>
      <c r="F729" s="2"/>
      <c r="G729" s="2"/>
      <c r="H729" s="2"/>
      <c r="I729" s="2"/>
      <c r="P729" s="58"/>
    </row>
    <row r="730" spans="2:16" ht="14.25" customHeight="1" x14ac:dyDescent="0.3">
      <c r="B730" s="57"/>
      <c r="C730" s="56"/>
      <c r="D730" s="2"/>
      <c r="F730" s="2"/>
      <c r="G730" s="2"/>
      <c r="H730" s="2"/>
      <c r="I730" s="2"/>
      <c r="P730" s="58"/>
    </row>
    <row r="731" spans="2:16" ht="14.25" customHeight="1" x14ac:dyDescent="0.3">
      <c r="B731" s="57"/>
      <c r="C731" s="56"/>
      <c r="D731" s="2"/>
      <c r="F731" s="2"/>
      <c r="G731" s="2"/>
      <c r="H731" s="2"/>
      <c r="I731" s="2"/>
      <c r="P731" s="58"/>
    </row>
    <row r="732" spans="2:16" ht="14.25" customHeight="1" x14ac:dyDescent="0.3">
      <c r="B732" s="57"/>
      <c r="C732" s="56"/>
      <c r="D732" s="2"/>
      <c r="F732" s="2"/>
      <c r="G732" s="2"/>
      <c r="H732" s="2"/>
      <c r="I732" s="2"/>
      <c r="P732" s="58"/>
    </row>
    <row r="733" spans="2:16" ht="14.25" customHeight="1" x14ac:dyDescent="0.3">
      <c r="B733" s="57"/>
      <c r="C733" s="56"/>
      <c r="D733" s="2"/>
      <c r="F733" s="2"/>
      <c r="G733" s="2"/>
      <c r="H733" s="2"/>
      <c r="I733" s="2"/>
      <c r="P733" s="58"/>
    </row>
    <row r="734" spans="2:16" ht="14.25" customHeight="1" x14ac:dyDescent="0.3">
      <c r="B734" s="57"/>
      <c r="C734" s="56"/>
      <c r="D734" s="2"/>
      <c r="F734" s="2"/>
      <c r="G734" s="2"/>
      <c r="H734" s="2"/>
      <c r="I734" s="2"/>
      <c r="P734" s="58"/>
    </row>
    <row r="735" spans="2:16" ht="14.25" customHeight="1" x14ac:dyDescent="0.3">
      <c r="B735" s="57"/>
      <c r="C735" s="56"/>
      <c r="D735" s="2"/>
      <c r="F735" s="2"/>
      <c r="G735" s="2"/>
      <c r="H735" s="2"/>
      <c r="I735" s="2"/>
      <c r="P735" s="58"/>
    </row>
    <row r="736" spans="2:16" ht="14.25" customHeight="1" x14ac:dyDescent="0.3">
      <c r="B736" s="57"/>
      <c r="C736" s="56"/>
      <c r="D736" s="2"/>
      <c r="F736" s="2"/>
      <c r="G736" s="2"/>
      <c r="H736" s="2"/>
      <c r="I736" s="2"/>
      <c r="P736" s="58"/>
    </row>
    <row r="737" spans="2:16" ht="14.25" customHeight="1" x14ac:dyDescent="0.3">
      <c r="B737" s="57"/>
      <c r="C737" s="56"/>
      <c r="D737" s="2"/>
      <c r="F737" s="2"/>
      <c r="G737" s="2"/>
      <c r="H737" s="2"/>
      <c r="I737" s="2"/>
      <c r="P737" s="58"/>
    </row>
    <row r="738" spans="2:16" ht="14.25" customHeight="1" x14ac:dyDescent="0.3">
      <c r="B738" s="57"/>
      <c r="C738" s="56"/>
      <c r="D738" s="2"/>
      <c r="F738" s="2"/>
      <c r="G738" s="2"/>
      <c r="H738" s="2"/>
      <c r="I738" s="2"/>
      <c r="P738" s="58"/>
    </row>
    <row r="739" spans="2:16" ht="14.25" customHeight="1" x14ac:dyDescent="0.3">
      <c r="B739" s="57"/>
      <c r="C739" s="56"/>
      <c r="D739" s="2"/>
      <c r="F739" s="2"/>
      <c r="G739" s="2"/>
      <c r="H739" s="2"/>
      <c r="I739" s="2"/>
      <c r="P739" s="58"/>
    </row>
    <row r="740" spans="2:16" ht="14.25" customHeight="1" x14ac:dyDescent="0.3">
      <c r="B740" s="57"/>
      <c r="C740" s="56"/>
      <c r="D740" s="2"/>
      <c r="F740" s="2"/>
      <c r="G740" s="2"/>
      <c r="H740" s="2"/>
      <c r="I740" s="2"/>
      <c r="P740" s="58"/>
    </row>
    <row r="741" spans="2:16" ht="14.25" customHeight="1" x14ac:dyDescent="0.3">
      <c r="B741" s="57"/>
      <c r="C741" s="56"/>
      <c r="D741" s="2"/>
      <c r="F741" s="2"/>
      <c r="G741" s="2"/>
      <c r="H741" s="2"/>
      <c r="I741" s="2"/>
      <c r="P741" s="58"/>
    </row>
    <row r="742" spans="2:16" ht="14.25" customHeight="1" x14ac:dyDescent="0.3">
      <c r="B742" s="57"/>
      <c r="C742" s="56"/>
      <c r="D742" s="2"/>
      <c r="F742" s="2"/>
      <c r="G742" s="2"/>
      <c r="H742" s="2"/>
      <c r="I742" s="2"/>
      <c r="P742" s="58"/>
    </row>
    <row r="743" spans="2:16" ht="14.25" customHeight="1" x14ac:dyDescent="0.3">
      <c r="B743" s="57"/>
      <c r="C743" s="56"/>
      <c r="D743" s="2"/>
      <c r="F743" s="2"/>
      <c r="G743" s="2"/>
      <c r="H743" s="2"/>
      <c r="I743" s="2"/>
      <c r="P743" s="58"/>
    </row>
    <row r="744" spans="2:16" ht="14.25" customHeight="1" x14ac:dyDescent="0.3">
      <c r="B744" s="57"/>
      <c r="C744" s="56"/>
      <c r="D744" s="2"/>
      <c r="F744" s="2"/>
      <c r="G744" s="2"/>
      <c r="H744" s="2"/>
      <c r="I744" s="2"/>
      <c r="P744" s="58"/>
    </row>
    <row r="745" spans="2:16" ht="14.25" customHeight="1" x14ac:dyDescent="0.3">
      <c r="B745" s="57"/>
      <c r="C745" s="56"/>
      <c r="D745" s="2"/>
      <c r="F745" s="2"/>
      <c r="G745" s="2"/>
      <c r="H745" s="2"/>
      <c r="I745" s="2"/>
      <c r="P745" s="58"/>
    </row>
    <row r="746" spans="2:16" ht="14.25" customHeight="1" x14ac:dyDescent="0.3">
      <c r="B746" s="57"/>
      <c r="C746" s="56"/>
      <c r="D746" s="2"/>
      <c r="F746" s="2"/>
      <c r="G746" s="2"/>
      <c r="H746" s="2"/>
      <c r="I746" s="2"/>
      <c r="P746" s="58"/>
    </row>
    <row r="747" spans="2:16" ht="14.25" customHeight="1" x14ac:dyDescent="0.3">
      <c r="B747" s="57"/>
      <c r="C747" s="56"/>
      <c r="D747" s="2"/>
      <c r="F747" s="2"/>
      <c r="G747" s="2"/>
      <c r="H747" s="2"/>
      <c r="I747" s="2"/>
      <c r="P747" s="58"/>
    </row>
    <row r="748" spans="2:16" ht="14.25" customHeight="1" x14ac:dyDescent="0.3">
      <c r="B748" s="57"/>
      <c r="C748" s="56"/>
      <c r="D748" s="2"/>
      <c r="F748" s="2"/>
      <c r="G748" s="2"/>
      <c r="H748" s="2"/>
      <c r="I748" s="2"/>
      <c r="P748" s="58"/>
    </row>
    <row r="749" spans="2:16" ht="14.25" customHeight="1" x14ac:dyDescent="0.3">
      <c r="B749" s="57"/>
      <c r="C749" s="56"/>
      <c r="D749" s="2"/>
      <c r="F749" s="2"/>
      <c r="G749" s="2"/>
      <c r="H749" s="2"/>
      <c r="I749" s="2"/>
      <c r="P749" s="58"/>
    </row>
    <row r="750" spans="2:16" ht="14.25" customHeight="1" x14ac:dyDescent="0.3">
      <c r="B750" s="57"/>
      <c r="C750" s="56"/>
      <c r="D750" s="2"/>
      <c r="F750" s="2"/>
      <c r="G750" s="2"/>
      <c r="H750" s="2"/>
      <c r="I750" s="2"/>
      <c r="P750" s="58"/>
    </row>
    <row r="751" spans="2:16" ht="14.25" customHeight="1" x14ac:dyDescent="0.3">
      <c r="B751" s="57"/>
      <c r="C751" s="56"/>
      <c r="D751" s="2"/>
      <c r="F751" s="2"/>
      <c r="G751" s="2"/>
      <c r="H751" s="2"/>
      <c r="I751" s="2"/>
      <c r="P751" s="58"/>
    </row>
    <row r="752" spans="2:16" ht="14.25" customHeight="1" x14ac:dyDescent="0.3">
      <c r="B752" s="57"/>
      <c r="C752" s="56"/>
      <c r="D752" s="2"/>
      <c r="F752" s="2"/>
      <c r="G752" s="2"/>
      <c r="H752" s="2"/>
      <c r="I752" s="2"/>
      <c r="P752" s="58"/>
    </row>
    <row r="753" spans="2:16" ht="14.25" customHeight="1" x14ac:dyDescent="0.3">
      <c r="B753" s="57"/>
      <c r="C753" s="56"/>
      <c r="D753" s="2"/>
      <c r="F753" s="2"/>
      <c r="G753" s="2"/>
      <c r="H753" s="2"/>
      <c r="I753" s="2"/>
      <c r="P753" s="58"/>
    </row>
    <row r="754" spans="2:16" ht="14.25" customHeight="1" x14ac:dyDescent="0.3">
      <c r="B754" s="57"/>
      <c r="C754" s="56"/>
      <c r="D754" s="2"/>
      <c r="F754" s="2"/>
      <c r="G754" s="2"/>
      <c r="H754" s="2"/>
      <c r="I754" s="2"/>
      <c r="P754" s="58"/>
    </row>
    <row r="755" spans="2:16" ht="14.25" customHeight="1" x14ac:dyDescent="0.3">
      <c r="B755" s="57"/>
      <c r="C755" s="56"/>
      <c r="D755" s="2"/>
      <c r="F755" s="2"/>
      <c r="G755" s="2"/>
      <c r="H755" s="2"/>
      <c r="I755" s="2"/>
      <c r="P755" s="58"/>
    </row>
    <row r="756" spans="2:16" ht="14.25" customHeight="1" x14ac:dyDescent="0.3">
      <c r="B756" s="57"/>
      <c r="C756" s="56"/>
      <c r="D756" s="2"/>
      <c r="F756" s="2"/>
      <c r="G756" s="2"/>
      <c r="H756" s="2"/>
      <c r="I756" s="2"/>
      <c r="P756" s="58"/>
    </row>
    <row r="757" spans="2:16" ht="14.25" customHeight="1" x14ac:dyDescent="0.3">
      <c r="B757" s="57"/>
      <c r="C757" s="56"/>
      <c r="D757" s="2"/>
      <c r="F757" s="2"/>
      <c r="G757" s="2"/>
      <c r="H757" s="2"/>
      <c r="I757" s="2"/>
      <c r="P757" s="58"/>
    </row>
    <row r="758" spans="2:16" ht="14.25" customHeight="1" x14ac:dyDescent="0.3">
      <c r="B758" s="57"/>
      <c r="C758" s="56"/>
      <c r="D758" s="2"/>
      <c r="F758" s="2"/>
      <c r="G758" s="2"/>
      <c r="H758" s="2"/>
      <c r="I758" s="2"/>
      <c r="P758" s="58"/>
    </row>
    <row r="759" spans="2:16" ht="14.25" customHeight="1" x14ac:dyDescent="0.3">
      <c r="B759" s="57"/>
      <c r="C759" s="56"/>
      <c r="D759" s="2"/>
      <c r="F759" s="2"/>
      <c r="G759" s="2"/>
      <c r="H759" s="2"/>
      <c r="I759" s="2"/>
      <c r="P759" s="58"/>
    </row>
    <row r="760" spans="2:16" ht="14.25" customHeight="1" x14ac:dyDescent="0.3">
      <c r="B760" s="57"/>
      <c r="C760" s="56"/>
      <c r="D760" s="2"/>
      <c r="F760" s="2"/>
      <c r="G760" s="2"/>
      <c r="H760" s="2"/>
      <c r="I760" s="2"/>
      <c r="P760" s="58"/>
    </row>
    <row r="761" spans="2:16" ht="14.25" customHeight="1" x14ac:dyDescent="0.3">
      <c r="B761" s="57"/>
      <c r="C761" s="56"/>
      <c r="D761" s="2"/>
      <c r="F761" s="2"/>
      <c r="G761" s="2"/>
      <c r="H761" s="2"/>
      <c r="I761" s="2"/>
      <c r="P761" s="58"/>
    </row>
    <row r="762" spans="2:16" ht="14.25" customHeight="1" x14ac:dyDescent="0.3">
      <c r="B762" s="57"/>
      <c r="C762" s="56"/>
      <c r="D762" s="2"/>
      <c r="F762" s="2"/>
      <c r="G762" s="2"/>
      <c r="H762" s="2"/>
      <c r="I762" s="2"/>
      <c r="P762" s="58"/>
    </row>
    <row r="763" spans="2:16" ht="14.25" customHeight="1" x14ac:dyDescent="0.3">
      <c r="B763" s="57"/>
      <c r="C763" s="56"/>
      <c r="D763" s="2"/>
      <c r="F763" s="2"/>
      <c r="G763" s="2"/>
      <c r="H763" s="2"/>
      <c r="I763" s="2"/>
      <c r="P763" s="58"/>
    </row>
    <row r="764" spans="2:16" ht="14.25" customHeight="1" x14ac:dyDescent="0.3">
      <c r="B764" s="57"/>
      <c r="C764" s="56"/>
      <c r="D764" s="2"/>
      <c r="F764" s="2"/>
      <c r="G764" s="2"/>
      <c r="H764" s="2"/>
      <c r="I764" s="2"/>
      <c r="P764" s="58"/>
    </row>
    <row r="765" spans="2:16" ht="14.25" customHeight="1" x14ac:dyDescent="0.3">
      <c r="B765" s="57"/>
      <c r="C765" s="56"/>
      <c r="D765" s="2"/>
      <c r="F765" s="2"/>
      <c r="G765" s="2"/>
      <c r="H765" s="2"/>
      <c r="I765" s="2"/>
      <c r="P765" s="58"/>
    </row>
    <row r="766" spans="2:16" ht="14.25" customHeight="1" x14ac:dyDescent="0.3">
      <c r="B766" s="57"/>
      <c r="C766" s="56"/>
      <c r="D766" s="2"/>
      <c r="F766" s="2"/>
      <c r="G766" s="2"/>
      <c r="H766" s="2"/>
      <c r="I766" s="2"/>
      <c r="P766" s="58"/>
    </row>
    <row r="767" spans="2:16" ht="14.25" customHeight="1" x14ac:dyDescent="0.3">
      <c r="B767" s="57"/>
      <c r="C767" s="56"/>
      <c r="D767" s="2"/>
      <c r="F767" s="2"/>
      <c r="G767" s="2"/>
      <c r="H767" s="2"/>
      <c r="I767" s="2"/>
      <c r="P767" s="58"/>
    </row>
    <row r="768" spans="2:16" ht="14.25" customHeight="1" x14ac:dyDescent="0.3">
      <c r="B768" s="57"/>
      <c r="C768" s="56"/>
      <c r="D768" s="2"/>
      <c r="F768" s="2"/>
      <c r="G768" s="2"/>
      <c r="H768" s="2"/>
      <c r="I768" s="2"/>
      <c r="P768" s="58"/>
    </row>
    <row r="769" spans="2:16" ht="14.25" customHeight="1" x14ac:dyDescent="0.3">
      <c r="B769" s="57"/>
      <c r="C769" s="56"/>
      <c r="D769" s="2"/>
      <c r="F769" s="2"/>
      <c r="G769" s="2"/>
      <c r="H769" s="2"/>
      <c r="I769" s="2"/>
      <c r="P769" s="58"/>
    </row>
    <row r="770" spans="2:16" ht="14.25" customHeight="1" x14ac:dyDescent="0.3">
      <c r="B770" s="57"/>
      <c r="C770" s="56"/>
      <c r="D770" s="2"/>
      <c r="F770" s="2"/>
      <c r="G770" s="2"/>
      <c r="H770" s="2"/>
      <c r="I770" s="2"/>
      <c r="P770" s="58"/>
    </row>
    <row r="771" spans="2:16" ht="14.25" customHeight="1" x14ac:dyDescent="0.3">
      <c r="B771" s="57"/>
      <c r="C771" s="56"/>
      <c r="D771" s="2"/>
      <c r="F771" s="2"/>
      <c r="G771" s="2"/>
      <c r="H771" s="2"/>
      <c r="I771" s="2"/>
      <c r="P771" s="58"/>
    </row>
    <row r="772" spans="2:16" ht="14.25" customHeight="1" x14ac:dyDescent="0.3">
      <c r="B772" s="57"/>
      <c r="C772" s="56"/>
      <c r="D772" s="2"/>
      <c r="F772" s="2"/>
      <c r="G772" s="2"/>
      <c r="H772" s="2"/>
      <c r="I772" s="2"/>
      <c r="P772" s="58"/>
    </row>
    <row r="773" spans="2:16" ht="14.25" customHeight="1" x14ac:dyDescent="0.3">
      <c r="B773" s="57"/>
      <c r="C773" s="56"/>
      <c r="D773" s="2"/>
      <c r="F773" s="2"/>
      <c r="G773" s="2"/>
      <c r="H773" s="2"/>
      <c r="I773" s="2"/>
      <c r="P773" s="58"/>
    </row>
    <row r="774" spans="2:16" ht="14.25" customHeight="1" x14ac:dyDescent="0.3">
      <c r="B774" s="57"/>
      <c r="C774" s="56"/>
      <c r="D774" s="2"/>
      <c r="F774" s="2"/>
      <c r="G774" s="2"/>
      <c r="H774" s="2"/>
      <c r="I774" s="2"/>
      <c r="P774" s="58"/>
    </row>
    <row r="775" spans="2:16" ht="14.25" customHeight="1" x14ac:dyDescent="0.3">
      <c r="B775" s="57"/>
      <c r="C775" s="56"/>
      <c r="D775" s="2"/>
      <c r="F775" s="2"/>
      <c r="G775" s="2"/>
      <c r="H775" s="2"/>
      <c r="I775" s="2"/>
      <c r="P775" s="58"/>
    </row>
    <row r="776" spans="2:16" ht="14.25" customHeight="1" x14ac:dyDescent="0.3">
      <c r="B776" s="57"/>
      <c r="C776" s="56"/>
      <c r="D776" s="2"/>
      <c r="F776" s="2"/>
      <c r="G776" s="2"/>
      <c r="H776" s="2"/>
      <c r="I776" s="2"/>
      <c r="P776" s="58"/>
    </row>
    <row r="777" spans="2:16" ht="14.25" customHeight="1" x14ac:dyDescent="0.3">
      <c r="B777" s="57"/>
      <c r="C777" s="56"/>
      <c r="D777" s="2"/>
      <c r="F777" s="2"/>
      <c r="G777" s="2"/>
      <c r="H777" s="2"/>
      <c r="I777" s="2"/>
      <c r="P777" s="58"/>
    </row>
    <row r="778" spans="2:16" ht="14.25" customHeight="1" x14ac:dyDescent="0.3">
      <c r="B778" s="57"/>
      <c r="C778" s="56"/>
      <c r="D778" s="2"/>
      <c r="F778" s="2"/>
      <c r="G778" s="2"/>
      <c r="H778" s="2"/>
      <c r="I778" s="2"/>
      <c r="P778" s="58"/>
    </row>
    <row r="779" spans="2:16" ht="14.25" customHeight="1" x14ac:dyDescent="0.3">
      <c r="B779" s="57"/>
      <c r="C779" s="56"/>
      <c r="D779" s="2"/>
      <c r="F779" s="2"/>
      <c r="G779" s="2"/>
      <c r="H779" s="2"/>
      <c r="I779" s="2"/>
      <c r="P779" s="58"/>
    </row>
    <row r="780" spans="2:16" ht="14.25" customHeight="1" x14ac:dyDescent="0.3">
      <c r="B780" s="57"/>
      <c r="C780" s="56"/>
      <c r="D780" s="2"/>
      <c r="F780" s="2"/>
      <c r="G780" s="2"/>
      <c r="H780" s="2"/>
      <c r="I780" s="2"/>
      <c r="P780" s="58"/>
    </row>
    <row r="781" spans="2:16" ht="14.25" customHeight="1" x14ac:dyDescent="0.3">
      <c r="B781" s="57"/>
      <c r="C781" s="56"/>
      <c r="D781" s="2"/>
      <c r="F781" s="2"/>
      <c r="G781" s="2"/>
      <c r="H781" s="2"/>
      <c r="I781" s="2"/>
      <c r="P781" s="58"/>
    </row>
    <row r="782" spans="2:16" ht="14.25" customHeight="1" x14ac:dyDescent="0.3">
      <c r="B782" s="57"/>
      <c r="C782" s="56"/>
      <c r="D782" s="2"/>
      <c r="F782" s="2"/>
      <c r="G782" s="2"/>
      <c r="H782" s="2"/>
      <c r="I782" s="2"/>
      <c r="P782" s="58"/>
    </row>
    <row r="783" spans="2:16" ht="14.25" customHeight="1" x14ac:dyDescent="0.3">
      <c r="B783" s="57"/>
      <c r="C783" s="56"/>
      <c r="D783" s="2"/>
      <c r="F783" s="2"/>
      <c r="G783" s="2"/>
      <c r="H783" s="2"/>
      <c r="I783" s="2"/>
      <c r="P783" s="58"/>
    </row>
    <row r="784" spans="2:16" ht="14.25" customHeight="1" x14ac:dyDescent="0.3">
      <c r="B784" s="57"/>
      <c r="C784" s="56"/>
      <c r="D784" s="2"/>
      <c r="F784" s="2"/>
      <c r="G784" s="2"/>
      <c r="H784" s="2"/>
      <c r="I784" s="2"/>
      <c r="P784" s="58"/>
    </row>
    <row r="785" spans="2:16" ht="14.25" customHeight="1" x14ac:dyDescent="0.3">
      <c r="B785" s="57"/>
      <c r="C785" s="56"/>
      <c r="D785" s="2"/>
      <c r="F785" s="2"/>
      <c r="G785" s="2"/>
      <c r="H785" s="2"/>
      <c r="I785" s="2"/>
      <c r="P785" s="58"/>
    </row>
    <row r="786" spans="2:16" ht="14.25" customHeight="1" x14ac:dyDescent="0.3">
      <c r="B786" s="57"/>
      <c r="C786" s="56"/>
      <c r="D786" s="2"/>
      <c r="F786" s="2"/>
      <c r="G786" s="2"/>
      <c r="H786" s="2"/>
      <c r="I786" s="2"/>
      <c r="P786" s="58"/>
    </row>
    <row r="787" spans="2:16" ht="14.25" customHeight="1" x14ac:dyDescent="0.3">
      <c r="B787" s="57"/>
      <c r="C787" s="56"/>
      <c r="D787" s="2"/>
      <c r="F787" s="2"/>
      <c r="G787" s="2"/>
      <c r="H787" s="2"/>
      <c r="I787" s="2"/>
      <c r="P787" s="58"/>
    </row>
    <row r="788" spans="2:16" ht="14.25" customHeight="1" x14ac:dyDescent="0.3">
      <c r="B788" s="57"/>
      <c r="C788" s="56"/>
      <c r="D788" s="2"/>
      <c r="F788" s="2"/>
      <c r="G788" s="2"/>
      <c r="H788" s="2"/>
      <c r="I788" s="2"/>
      <c r="P788" s="58"/>
    </row>
    <row r="789" spans="2:16" ht="14.25" customHeight="1" x14ac:dyDescent="0.3">
      <c r="B789" s="57"/>
      <c r="C789" s="56"/>
      <c r="D789" s="2"/>
      <c r="F789" s="2"/>
      <c r="G789" s="2"/>
      <c r="H789" s="2"/>
      <c r="I789" s="2"/>
      <c r="P789" s="58"/>
    </row>
    <row r="790" spans="2:16" ht="14.25" customHeight="1" x14ac:dyDescent="0.3">
      <c r="B790" s="57"/>
      <c r="C790" s="56"/>
      <c r="D790" s="2"/>
      <c r="F790" s="2"/>
      <c r="G790" s="2"/>
      <c r="H790" s="2"/>
      <c r="I790" s="2"/>
      <c r="P790" s="58"/>
    </row>
    <row r="791" spans="2:16" ht="14.25" customHeight="1" x14ac:dyDescent="0.3">
      <c r="B791" s="57"/>
      <c r="C791" s="56"/>
      <c r="D791" s="2"/>
      <c r="F791" s="2"/>
      <c r="G791" s="2"/>
      <c r="H791" s="2"/>
      <c r="I791" s="2"/>
      <c r="P791" s="58"/>
    </row>
    <row r="792" spans="2:16" ht="14.25" customHeight="1" x14ac:dyDescent="0.3">
      <c r="B792" s="57"/>
      <c r="C792" s="56"/>
      <c r="D792" s="2"/>
      <c r="F792" s="2"/>
      <c r="G792" s="2"/>
      <c r="H792" s="2"/>
      <c r="I792" s="2"/>
      <c r="P792" s="58"/>
    </row>
    <row r="793" spans="2:16" ht="14.25" customHeight="1" x14ac:dyDescent="0.3">
      <c r="B793" s="57"/>
      <c r="C793" s="56"/>
      <c r="D793" s="2"/>
      <c r="F793" s="2"/>
      <c r="G793" s="2"/>
      <c r="H793" s="2"/>
      <c r="I793" s="2"/>
      <c r="P793" s="58"/>
    </row>
    <row r="794" spans="2:16" ht="14.25" customHeight="1" x14ac:dyDescent="0.3">
      <c r="B794" s="57"/>
      <c r="C794" s="56"/>
      <c r="D794" s="2"/>
      <c r="F794" s="2"/>
      <c r="G794" s="2"/>
      <c r="H794" s="2"/>
      <c r="I794" s="2"/>
      <c r="P794" s="58"/>
    </row>
    <row r="795" spans="2:16" ht="14.25" customHeight="1" x14ac:dyDescent="0.3">
      <c r="B795" s="57"/>
      <c r="C795" s="56"/>
      <c r="D795" s="2"/>
      <c r="F795" s="2"/>
      <c r="G795" s="2"/>
      <c r="H795" s="2"/>
      <c r="I795" s="2"/>
      <c r="P795" s="58"/>
    </row>
    <row r="796" spans="2:16" ht="14.25" customHeight="1" x14ac:dyDescent="0.3">
      <c r="B796" s="57"/>
      <c r="C796" s="56"/>
      <c r="D796" s="2"/>
      <c r="F796" s="2"/>
      <c r="G796" s="2"/>
      <c r="H796" s="2"/>
      <c r="I796" s="2"/>
      <c r="P796" s="58"/>
    </row>
    <row r="797" spans="2:16" ht="14.25" customHeight="1" x14ac:dyDescent="0.3">
      <c r="B797" s="57"/>
      <c r="C797" s="56"/>
      <c r="D797" s="2"/>
      <c r="F797" s="2"/>
      <c r="G797" s="2"/>
      <c r="H797" s="2"/>
      <c r="I797" s="2"/>
      <c r="P797" s="58"/>
    </row>
    <row r="798" spans="2:16" ht="14.25" customHeight="1" x14ac:dyDescent="0.3">
      <c r="B798" s="57"/>
      <c r="C798" s="56"/>
      <c r="D798" s="2"/>
      <c r="F798" s="2"/>
      <c r="G798" s="2"/>
      <c r="H798" s="2"/>
      <c r="I798" s="2"/>
      <c r="P798" s="58"/>
    </row>
    <row r="799" spans="2:16" ht="14.25" customHeight="1" x14ac:dyDescent="0.3">
      <c r="B799" s="57"/>
      <c r="C799" s="56"/>
      <c r="D799" s="2"/>
      <c r="F799" s="2"/>
      <c r="G799" s="2"/>
      <c r="H799" s="2"/>
      <c r="I799" s="2"/>
      <c r="P799" s="58"/>
    </row>
    <row r="800" spans="2:16" ht="14.25" customHeight="1" x14ac:dyDescent="0.3">
      <c r="B800" s="57"/>
      <c r="C800" s="56"/>
      <c r="D800" s="2"/>
      <c r="F800" s="2"/>
      <c r="G800" s="2"/>
      <c r="H800" s="2"/>
      <c r="I800" s="2"/>
      <c r="P800" s="58"/>
    </row>
    <row r="801" spans="2:16" ht="14.25" customHeight="1" x14ac:dyDescent="0.3">
      <c r="B801" s="57"/>
      <c r="C801" s="56"/>
      <c r="D801" s="2"/>
      <c r="F801" s="2"/>
      <c r="G801" s="2"/>
      <c r="H801" s="2"/>
      <c r="I801" s="2"/>
      <c r="P801" s="58"/>
    </row>
    <row r="802" spans="2:16" ht="14.25" customHeight="1" x14ac:dyDescent="0.3">
      <c r="B802" s="57"/>
      <c r="C802" s="56"/>
      <c r="D802" s="2"/>
      <c r="F802" s="2"/>
      <c r="G802" s="2"/>
      <c r="H802" s="2"/>
      <c r="I802" s="2"/>
      <c r="P802" s="58"/>
    </row>
    <row r="803" spans="2:16" ht="14.25" customHeight="1" x14ac:dyDescent="0.3">
      <c r="B803" s="57"/>
      <c r="C803" s="56"/>
      <c r="D803" s="2"/>
      <c r="F803" s="2"/>
      <c r="G803" s="2"/>
      <c r="H803" s="2"/>
      <c r="I803" s="2"/>
      <c r="P803" s="58"/>
    </row>
    <row r="804" spans="2:16" ht="14.25" customHeight="1" x14ac:dyDescent="0.3">
      <c r="B804" s="57"/>
      <c r="C804" s="56"/>
      <c r="D804" s="2"/>
      <c r="F804" s="2"/>
      <c r="G804" s="2"/>
      <c r="H804" s="2"/>
      <c r="I804" s="2"/>
      <c r="P804" s="58"/>
    </row>
    <row r="805" spans="2:16" ht="14.25" customHeight="1" x14ac:dyDescent="0.3">
      <c r="B805" s="57"/>
      <c r="C805" s="56"/>
      <c r="D805" s="2"/>
      <c r="F805" s="2"/>
      <c r="G805" s="2"/>
      <c r="H805" s="2"/>
      <c r="I805" s="2"/>
      <c r="P805" s="58"/>
    </row>
    <row r="806" spans="2:16" ht="14.25" customHeight="1" x14ac:dyDescent="0.3">
      <c r="B806" s="57"/>
      <c r="C806" s="56"/>
      <c r="D806" s="2"/>
      <c r="F806" s="2"/>
      <c r="G806" s="2"/>
      <c r="H806" s="2"/>
      <c r="I806" s="2"/>
      <c r="P806" s="58"/>
    </row>
    <row r="807" spans="2:16" ht="14.25" customHeight="1" x14ac:dyDescent="0.3">
      <c r="B807" s="57"/>
      <c r="C807" s="56"/>
      <c r="D807" s="2"/>
      <c r="F807" s="2"/>
      <c r="G807" s="2"/>
      <c r="H807" s="2"/>
      <c r="I807" s="2"/>
      <c r="P807" s="58"/>
    </row>
    <row r="808" spans="2:16" ht="14.25" customHeight="1" x14ac:dyDescent="0.3">
      <c r="B808" s="57"/>
      <c r="C808" s="56"/>
      <c r="D808" s="2"/>
      <c r="F808" s="2"/>
      <c r="G808" s="2"/>
      <c r="H808" s="2"/>
      <c r="I808" s="2"/>
      <c r="P808" s="58"/>
    </row>
    <row r="809" spans="2:16" ht="14.25" customHeight="1" x14ac:dyDescent="0.3">
      <c r="B809" s="57"/>
      <c r="C809" s="56"/>
      <c r="D809" s="2"/>
      <c r="F809" s="2"/>
      <c r="G809" s="2"/>
      <c r="H809" s="2"/>
      <c r="I809" s="2"/>
      <c r="P809" s="58"/>
    </row>
    <row r="810" spans="2:16" ht="14.25" customHeight="1" x14ac:dyDescent="0.3">
      <c r="B810" s="57"/>
      <c r="C810" s="56"/>
      <c r="D810" s="2"/>
      <c r="F810" s="2"/>
      <c r="G810" s="2"/>
      <c r="H810" s="2"/>
      <c r="I810" s="2"/>
      <c r="P810" s="58"/>
    </row>
    <row r="811" spans="2:16" ht="14.25" customHeight="1" x14ac:dyDescent="0.3">
      <c r="B811" s="57"/>
      <c r="C811" s="56"/>
      <c r="D811" s="2"/>
      <c r="F811" s="2"/>
      <c r="G811" s="2"/>
      <c r="H811" s="2"/>
      <c r="I811" s="2"/>
      <c r="P811" s="58"/>
    </row>
    <row r="812" spans="2:16" ht="14.25" customHeight="1" x14ac:dyDescent="0.3">
      <c r="B812" s="57"/>
      <c r="C812" s="56"/>
      <c r="D812" s="2"/>
      <c r="F812" s="2"/>
      <c r="G812" s="2"/>
      <c r="H812" s="2"/>
      <c r="I812" s="2"/>
      <c r="P812" s="58"/>
    </row>
    <row r="813" spans="2:16" ht="14.25" customHeight="1" x14ac:dyDescent="0.3">
      <c r="B813" s="57"/>
      <c r="C813" s="56"/>
      <c r="D813" s="2"/>
      <c r="F813" s="2"/>
      <c r="G813" s="2"/>
      <c r="H813" s="2"/>
      <c r="I813" s="2"/>
      <c r="P813" s="58"/>
    </row>
    <row r="814" spans="2:16" ht="14.25" customHeight="1" x14ac:dyDescent="0.3">
      <c r="B814" s="57"/>
      <c r="C814" s="56"/>
      <c r="D814" s="2"/>
      <c r="F814" s="2"/>
      <c r="G814" s="2"/>
      <c r="H814" s="2"/>
      <c r="I814" s="2"/>
      <c r="P814" s="58"/>
    </row>
    <row r="815" spans="2:16" ht="14.25" customHeight="1" x14ac:dyDescent="0.3">
      <c r="B815" s="57"/>
      <c r="C815" s="56"/>
      <c r="D815" s="2"/>
      <c r="F815" s="2"/>
      <c r="G815" s="2"/>
      <c r="H815" s="2"/>
      <c r="I815" s="2"/>
      <c r="P815" s="58"/>
    </row>
    <row r="816" spans="2:16" ht="14.25" customHeight="1" x14ac:dyDescent="0.3">
      <c r="B816" s="57"/>
      <c r="C816" s="56"/>
      <c r="D816" s="2"/>
      <c r="F816" s="2"/>
      <c r="G816" s="2"/>
      <c r="H816" s="2"/>
      <c r="I816" s="2"/>
      <c r="P816" s="58"/>
    </row>
    <row r="817" spans="2:16" ht="14.25" customHeight="1" x14ac:dyDescent="0.3">
      <c r="B817" s="57"/>
      <c r="C817" s="56"/>
      <c r="D817" s="2"/>
      <c r="F817" s="2"/>
      <c r="G817" s="2"/>
      <c r="H817" s="2"/>
      <c r="I817" s="2"/>
      <c r="P817" s="58"/>
    </row>
    <row r="818" spans="2:16" ht="14.25" customHeight="1" x14ac:dyDescent="0.3">
      <c r="B818" s="57"/>
      <c r="C818" s="56"/>
      <c r="D818" s="2"/>
      <c r="F818" s="2"/>
      <c r="G818" s="2"/>
      <c r="H818" s="2"/>
      <c r="I818" s="2"/>
      <c r="P818" s="58"/>
    </row>
    <row r="819" spans="2:16" ht="14.25" customHeight="1" x14ac:dyDescent="0.3">
      <c r="B819" s="57"/>
      <c r="C819" s="56"/>
      <c r="D819" s="2"/>
      <c r="F819" s="2"/>
      <c r="G819" s="2"/>
      <c r="H819" s="2"/>
      <c r="I819" s="2"/>
      <c r="P819" s="58"/>
    </row>
    <row r="820" spans="2:16" ht="14.25" customHeight="1" x14ac:dyDescent="0.3">
      <c r="B820" s="57"/>
      <c r="C820" s="56"/>
      <c r="D820" s="2"/>
      <c r="F820" s="2"/>
      <c r="G820" s="2"/>
      <c r="H820" s="2"/>
      <c r="I820" s="2"/>
      <c r="P820" s="58"/>
    </row>
    <row r="821" spans="2:16" ht="14.25" customHeight="1" x14ac:dyDescent="0.3">
      <c r="B821" s="57"/>
      <c r="C821" s="56"/>
      <c r="D821" s="2"/>
      <c r="F821" s="2"/>
      <c r="G821" s="2"/>
      <c r="H821" s="2"/>
      <c r="I821" s="2"/>
      <c r="P821" s="58"/>
    </row>
    <row r="822" spans="2:16" ht="14.25" customHeight="1" x14ac:dyDescent="0.3">
      <c r="B822" s="57"/>
      <c r="C822" s="56"/>
      <c r="D822" s="2"/>
      <c r="F822" s="2"/>
      <c r="G822" s="2"/>
      <c r="H822" s="2"/>
      <c r="I822" s="2"/>
      <c r="P822" s="58"/>
    </row>
    <row r="823" spans="2:16" ht="14.25" customHeight="1" x14ac:dyDescent="0.3">
      <c r="B823" s="57"/>
      <c r="C823" s="56"/>
      <c r="D823" s="2"/>
      <c r="F823" s="2"/>
      <c r="G823" s="2"/>
      <c r="H823" s="2"/>
      <c r="I823" s="2"/>
      <c r="P823" s="58"/>
    </row>
    <row r="824" spans="2:16" ht="14.25" customHeight="1" x14ac:dyDescent="0.3">
      <c r="B824" s="57"/>
      <c r="C824" s="56"/>
      <c r="D824" s="2"/>
      <c r="F824" s="2"/>
      <c r="G824" s="2"/>
      <c r="H824" s="2"/>
      <c r="I824" s="2"/>
      <c r="P824" s="58"/>
    </row>
    <row r="825" spans="2:16" ht="14.25" customHeight="1" x14ac:dyDescent="0.3">
      <c r="B825" s="57"/>
      <c r="C825" s="56"/>
      <c r="D825" s="2"/>
      <c r="F825" s="2"/>
      <c r="G825" s="2"/>
      <c r="H825" s="2"/>
      <c r="I825" s="2"/>
      <c r="P825" s="58"/>
    </row>
    <row r="826" spans="2:16" ht="14.25" customHeight="1" x14ac:dyDescent="0.3">
      <c r="B826" s="57"/>
      <c r="C826" s="56"/>
      <c r="D826" s="2"/>
      <c r="F826" s="2"/>
      <c r="G826" s="2"/>
      <c r="H826" s="2"/>
      <c r="I826" s="2"/>
      <c r="P826" s="58"/>
    </row>
    <row r="827" spans="2:16" ht="14.25" customHeight="1" x14ac:dyDescent="0.3">
      <c r="B827" s="57"/>
      <c r="C827" s="56"/>
      <c r="D827" s="2"/>
      <c r="F827" s="2"/>
      <c r="G827" s="2"/>
      <c r="H827" s="2"/>
      <c r="I827" s="2"/>
      <c r="P827" s="58"/>
    </row>
    <row r="828" spans="2:16" ht="14.25" customHeight="1" x14ac:dyDescent="0.3">
      <c r="B828" s="57"/>
      <c r="C828" s="56"/>
      <c r="D828" s="2"/>
      <c r="F828" s="2"/>
      <c r="G828" s="2"/>
      <c r="H828" s="2"/>
      <c r="I828" s="2"/>
      <c r="P828" s="58"/>
    </row>
    <row r="829" spans="2:16" ht="14.25" customHeight="1" x14ac:dyDescent="0.3">
      <c r="B829" s="57"/>
      <c r="C829" s="56"/>
      <c r="D829" s="2"/>
      <c r="F829" s="2"/>
      <c r="G829" s="2"/>
      <c r="H829" s="2"/>
      <c r="I829" s="2"/>
      <c r="P829" s="58"/>
    </row>
    <row r="830" spans="2:16" ht="14.25" customHeight="1" x14ac:dyDescent="0.3">
      <c r="B830" s="57"/>
      <c r="C830" s="56"/>
      <c r="D830" s="2"/>
      <c r="F830" s="2"/>
      <c r="G830" s="2"/>
      <c r="H830" s="2"/>
      <c r="I830" s="2"/>
      <c r="P830" s="58"/>
    </row>
    <row r="831" spans="2:16" ht="14.25" customHeight="1" x14ac:dyDescent="0.3">
      <c r="B831" s="57"/>
      <c r="C831" s="56"/>
      <c r="D831" s="2"/>
      <c r="F831" s="2"/>
      <c r="G831" s="2"/>
      <c r="H831" s="2"/>
      <c r="I831" s="2"/>
      <c r="P831" s="58"/>
    </row>
    <row r="832" spans="2:16" ht="14.25" customHeight="1" x14ac:dyDescent="0.3">
      <c r="B832" s="57"/>
      <c r="C832" s="56"/>
      <c r="D832" s="2"/>
      <c r="F832" s="2"/>
      <c r="G832" s="2"/>
      <c r="H832" s="2"/>
      <c r="I832" s="2"/>
      <c r="P832" s="58"/>
    </row>
    <row r="833" spans="2:16" ht="14.25" customHeight="1" x14ac:dyDescent="0.3">
      <c r="B833" s="57"/>
      <c r="C833" s="56"/>
      <c r="D833" s="2"/>
      <c r="F833" s="2"/>
      <c r="G833" s="2"/>
      <c r="H833" s="2"/>
      <c r="I833" s="2"/>
      <c r="P833" s="58"/>
    </row>
    <row r="834" spans="2:16" ht="14.25" customHeight="1" x14ac:dyDescent="0.3">
      <c r="B834" s="57"/>
      <c r="C834" s="56"/>
      <c r="D834" s="2"/>
      <c r="F834" s="2"/>
      <c r="G834" s="2"/>
      <c r="H834" s="2"/>
      <c r="I834" s="2"/>
      <c r="P834" s="58"/>
    </row>
    <row r="835" spans="2:16" ht="14.25" customHeight="1" x14ac:dyDescent="0.3">
      <c r="B835" s="57"/>
      <c r="C835" s="56"/>
      <c r="D835" s="2"/>
      <c r="F835" s="2"/>
      <c r="G835" s="2"/>
      <c r="H835" s="2"/>
      <c r="I835" s="2"/>
      <c r="P835" s="58"/>
    </row>
    <row r="836" spans="2:16" ht="14.25" customHeight="1" x14ac:dyDescent="0.3">
      <c r="B836" s="57"/>
      <c r="C836" s="56"/>
      <c r="D836" s="2"/>
      <c r="F836" s="2"/>
      <c r="G836" s="2"/>
      <c r="H836" s="2"/>
      <c r="I836" s="2"/>
      <c r="P836" s="58"/>
    </row>
    <row r="837" spans="2:16" ht="14.25" customHeight="1" x14ac:dyDescent="0.3">
      <c r="B837" s="57"/>
      <c r="C837" s="56"/>
      <c r="D837" s="2"/>
      <c r="F837" s="2"/>
      <c r="G837" s="2"/>
      <c r="H837" s="2"/>
      <c r="I837" s="2"/>
      <c r="P837" s="58"/>
    </row>
    <row r="838" spans="2:16" ht="14.25" customHeight="1" x14ac:dyDescent="0.3">
      <c r="B838" s="57"/>
      <c r="C838" s="56"/>
      <c r="D838" s="2"/>
      <c r="F838" s="2"/>
      <c r="G838" s="2"/>
      <c r="H838" s="2"/>
      <c r="I838" s="2"/>
      <c r="P838" s="58"/>
    </row>
    <row r="839" spans="2:16" ht="14.25" customHeight="1" x14ac:dyDescent="0.3">
      <c r="B839" s="57"/>
      <c r="C839" s="56"/>
      <c r="D839" s="2"/>
      <c r="F839" s="2"/>
      <c r="G839" s="2"/>
      <c r="H839" s="2"/>
      <c r="I839" s="2"/>
      <c r="P839" s="58"/>
    </row>
    <row r="840" spans="2:16" ht="14.25" customHeight="1" x14ac:dyDescent="0.3">
      <c r="B840" s="57"/>
      <c r="C840" s="56"/>
      <c r="D840" s="2"/>
      <c r="F840" s="2"/>
      <c r="G840" s="2"/>
      <c r="H840" s="2"/>
      <c r="I840" s="2"/>
      <c r="P840" s="58"/>
    </row>
    <row r="841" spans="2:16" ht="14.25" customHeight="1" x14ac:dyDescent="0.3">
      <c r="B841" s="57"/>
      <c r="C841" s="56"/>
      <c r="D841" s="2"/>
      <c r="F841" s="2"/>
      <c r="G841" s="2"/>
      <c r="H841" s="2"/>
      <c r="I841" s="2"/>
      <c r="P841" s="58"/>
    </row>
    <row r="842" spans="2:16" ht="14.25" customHeight="1" x14ac:dyDescent="0.3">
      <c r="B842" s="57"/>
      <c r="C842" s="56"/>
      <c r="D842" s="2"/>
      <c r="F842" s="2"/>
      <c r="G842" s="2"/>
      <c r="H842" s="2"/>
      <c r="I842" s="2"/>
      <c r="P842" s="58"/>
    </row>
    <row r="843" spans="2:16" ht="14.25" customHeight="1" x14ac:dyDescent="0.3">
      <c r="B843" s="57"/>
      <c r="C843" s="56"/>
      <c r="D843" s="2"/>
      <c r="F843" s="2"/>
      <c r="G843" s="2"/>
      <c r="H843" s="2"/>
      <c r="I843" s="2"/>
      <c r="P843" s="58"/>
    </row>
    <row r="844" spans="2:16" ht="14.25" customHeight="1" x14ac:dyDescent="0.3">
      <c r="B844" s="57"/>
      <c r="C844" s="56"/>
      <c r="D844" s="2"/>
      <c r="F844" s="2"/>
      <c r="G844" s="2"/>
      <c r="H844" s="2"/>
      <c r="I844" s="2"/>
      <c r="P844" s="58"/>
    </row>
    <row r="845" spans="2:16" ht="14.25" customHeight="1" x14ac:dyDescent="0.3">
      <c r="B845" s="57"/>
      <c r="C845" s="56"/>
      <c r="D845" s="2"/>
      <c r="F845" s="2"/>
      <c r="G845" s="2"/>
      <c r="H845" s="2"/>
      <c r="I845" s="2"/>
      <c r="P845" s="58"/>
    </row>
    <row r="846" spans="2:16" ht="14.25" customHeight="1" x14ac:dyDescent="0.3">
      <c r="B846" s="57"/>
      <c r="C846" s="56"/>
      <c r="D846" s="2"/>
      <c r="F846" s="2"/>
      <c r="G846" s="2"/>
      <c r="H846" s="2"/>
      <c r="I846" s="2"/>
      <c r="P846" s="58"/>
    </row>
    <row r="847" spans="2:16" ht="14.25" customHeight="1" x14ac:dyDescent="0.3">
      <c r="B847" s="57"/>
      <c r="C847" s="56"/>
      <c r="D847" s="2"/>
      <c r="F847" s="2"/>
      <c r="G847" s="2"/>
      <c r="H847" s="2"/>
      <c r="I847" s="2"/>
      <c r="P847" s="58"/>
    </row>
    <row r="848" spans="2:16" ht="14.25" customHeight="1" x14ac:dyDescent="0.3">
      <c r="B848" s="57"/>
      <c r="C848" s="56"/>
      <c r="D848" s="2"/>
      <c r="F848" s="2"/>
      <c r="G848" s="2"/>
      <c r="H848" s="2"/>
      <c r="I848" s="2"/>
      <c r="P848" s="58"/>
    </row>
    <row r="849" spans="2:16" ht="14.25" customHeight="1" x14ac:dyDescent="0.3">
      <c r="B849" s="57"/>
      <c r="C849" s="56"/>
      <c r="D849" s="2"/>
      <c r="F849" s="2"/>
      <c r="G849" s="2"/>
      <c r="H849" s="2"/>
      <c r="I849" s="2"/>
      <c r="P849" s="58"/>
    </row>
    <row r="850" spans="2:16" ht="14.25" customHeight="1" x14ac:dyDescent="0.3">
      <c r="B850" s="57"/>
      <c r="C850" s="56"/>
      <c r="D850" s="2"/>
      <c r="F850" s="2"/>
      <c r="G850" s="2"/>
      <c r="H850" s="2"/>
      <c r="I850" s="2"/>
      <c r="P850" s="58"/>
    </row>
    <row r="851" spans="2:16" ht="14.25" customHeight="1" x14ac:dyDescent="0.3">
      <c r="B851" s="57"/>
      <c r="C851" s="56"/>
      <c r="D851" s="2"/>
      <c r="F851" s="2"/>
      <c r="G851" s="2"/>
      <c r="H851" s="2"/>
      <c r="I851" s="2"/>
      <c r="P851" s="58"/>
    </row>
    <row r="852" spans="2:16" ht="14.25" customHeight="1" x14ac:dyDescent="0.3">
      <c r="B852" s="57"/>
      <c r="C852" s="56"/>
      <c r="D852" s="2"/>
      <c r="F852" s="2"/>
      <c r="G852" s="2"/>
      <c r="H852" s="2"/>
      <c r="I852" s="2"/>
      <c r="P852" s="58"/>
    </row>
    <row r="853" spans="2:16" ht="14.25" customHeight="1" x14ac:dyDescent="0.3">
      <c r="B853" s="57"/>
      <c r="C853" s="56"/>
      <c r="D853" s="2"/>
      <c r="F853" s="2"/>
      <c r="G853" s="2"/>
      <c r="H853" s="2"/>
      <c r="I853" s="2"/>
      <c r="P853" s="58"/>
    </row>
    <row r="854" spans="2:16" ht="14.25" customHeight="1" x14ac:dyDescent="0.3">
      <c r="B854" s="57"/>
      <c r="C854" s="56"/>
      <c r="D854" s="2"/>
      <c r="F854" s="2"/>
      <c r="G854" s="2"/>
      <c r="H854" s="2"/>
      <c r="I854" s="2"/>
      <c r="P854" s="58"/>
    </row>
    <row r="855" spans="2:16" ht="14.25" customHeight="1" x14ac:dyDescent="0.3">
      <c r="B855" s="57"/>
      <c r="C855" s="56"/>
      <c r="D855" s="2"/>
      <c r="F855" s="2"/>
      <c r="G855" s="2"/>
      <c r="H855" s="2"/>
      <c r="I855" s="2"/>
      <c r="P855" s="58"/>
    </row>
    <row r="856" spans="2:16" ht="14.25" customHeight="1" x14ac:dyDescent="0.3">
      <c r="B856" s="57"/>
      <c r="C856" s="56"/>
      <c r="D856" s="2"/>
      <c r="F856" s="2"/>
      <c r="G856" s="2"/>
      <c r="H856" s="2"/>
      <c r="I856" s="2"/>
      <c r="P856" s="58"/>
    </row>
    <row r="857" spans="2:16" ht="14.25" customHeight="1" x14ac:dyDescent="0.3">
      <c r="B857" s="57"/>
      <c r="C857" s="56"/>
      <c r="D857" s="2"/>
      <c r="F857" s="2"/>
      <c r="G857" s="2"/>
      <c r="H857" s="2"/>
      <c r="I857" s="2"/>
      <c r="P857" s="58"/>
    </row>
    <row r="858" spans="2:16" ht="14.25" customHeight="1" x14ac:dyDescent="0.3">
      <c r="B858" s="57"/>
      <c r="C858" s="56"/>
      <c r="D858" s="2"/>
      <c r="F858" s="2"/>
      <c r="G858" s="2"/>
      <c r="H858" s="2"/>
      <c r="I858" s="2"/>
      <c r="P858" s="58"/>
    </row>
    <row r="859" spans="2:16" ht="14.25" customHeight="1" x14ac:dyDescent="0.3">
      <c r="B859" s="57"/>
      <c r="C859" s="56"/>
      <c r="D859" s="2"/>
      <c r="F859" s="2"/>
      <c r="G859" s="2"/>
      <c r="H859" s="2"/>
      <c r="I859" s="2"/>
      <c r="P859" s="58"/>
    </row>
    <row r="860" spans="2:16" ht="14.25" customHeight="1" x14ac:dyDescent="0.3">
      <c r="B860" s="57"/>
      <c r="C860" s="56"/>
      <c r="D860" s="2"/>
      <c r="F860" s="2"/>
      <c r="G860" s="2"/>
      <c r="H860" s="2"/>
      <c r="I860" s="2"/>
      <c r="P860" s="58"/>
    </row>
    <row r="861" spans="2:16" ht="14.25" customHeight="1" x14ac:dyDescent="0.3">
      <c r="B861" s="57"/>
      <c r="C861" s="56"/>
      <c r="D861" s="2"/>
      <c r="F861" s="2"/>
      <c r="G861" s="2"/>
      <c r="H861" s="2"/>
      <c r="I861" s="2"/>
      <c r="P861" s="58"/>
    </row>
    <row r="862" spans="2:16" ht="14.25" customHeight="1" x14ac:dyDescent="0.3">
      <c r="B862" s="57"/>
      <c r="C862" s="56"/>
      <c r="D862" s="2"/>
      <c r="F862" s="2"/>
      <c r="G862" s="2"/>
      <c r="H862" s="2"/>
      <c r="I862" s="2"/>
      <c r="P862" s="58"/>
    </row>
    <row r="863" spans="2:16" ht="14.25" customHeight="1" x14ac:dyDescent="0.3">
      <c r="B863" s="57"/>
      <c r="C863" s="56"/>
      <c r="D863" s="2"/>
      <c r="F863" s="2"/>
      <c r="G863" s="2"/>
      <c r="H863" s="2"/>
      <c r="I863" s="2"/>
      <c r="P863" s="58"/>
    </row>
    <row r="864" spans="2:16" ht="14.25" customHeight="1" x14ac:dyDescent="0.3">
      <c r="B864" s="57"/>
      <c r="C864" s="56"/>
      <c r="D864" s="2"/>
      <c r="F864" s="2"/>
      <c r="G864" s="2"/>
      <c r="H864" s="2"/>
      <c r="I864" s="2"/>
      <c r="P864" s="58"/>
    </row>
    <row r="865" spans="2:16" ht="14.25" customHeight="1" x14ac:dyDescent="0.3">
      <c r="B865" s="57"/>
      <c r="C865" s="56"/>
      <c r="D865" s="2"/>
      <c r="F865" s="2"/>
      <c r="G865" s="2"/>
      <c r="H865" s="2"/>
      <c r="I865" s="2"/>
      <c r="P865" s="58"/>
    </row>
    <row r="866" spans="2:16" ht="14.25" customHeight="1" x14ac:dyDescent="0.3">
      <c r="B866" s="57"/>
      <c r="C866" s="56"/>
      <c r="D866" s="2"/>
      <c r="F866" s="2"/>
      <c r="G866" s="2"/>
      <c r="H866" s="2"/>
      <c r="I866" s="2"/>
      <c r="P866" s="58"/>
    </row>
    <row r="867" spans="2:16" ht="14.25" customHeight="1" x14ac:dyDescent="0.3">
      <c r="B867" s="57"/>
      <c r="C867" s="56"/>
      <c r="D867" s="2"/>
      <c r="F867" s="2"/>
      <c r="G867" s="2"/>
      <c r="H867" s="2"/>
      <c r="I867" s="2"/>
      <c r="P867" s="58"/>
    </row>
    <row r="868" spans="2:16" ht="14.25" customHeight="1" x14ac:dyDescent="0.3">
      <c r="B868" s="57"/>
      <c r="C868" s="56"/>
      <c r="D868" s="2"/>
      <c r="F868" s="2"/>
      <c r="G868" s="2"/>
      <c r="H868" s="2"/>
      <c r="I868" s="2"/>
      <c r="P868" s="58"/>
    </row>
    <row r="869" spans="2:16" ht="14.25" customHeight="1" x14ac:dyDescent="0.3">
      <c r="B869" s="57"/>
      <c r="C869" s="56"/>
      <c r="D869" s="2"/>
      <c r="F869" s="2"/>
      <c r="G869" s="2"/>
      <c r="H869" s="2"/>
      <c r="I869" s="2"/>
      <c r="P869" s="58"/>
    </row>
    <row r="870" spans="2:16" ht="14.25" customHeight="1" x14ac:dyDescent="0.3">
      <c r="B870" s="57"/>
      <c r="C870" s="56"/>
      <c r="D870" s="2"/>
      <c r="F870" s="2"/>
      <c r="G870" s="2"/>
      <c r="H870" s="2"/>
      <c r="I870" s="2"/>
      <c r="P870" s="58"/>
    </row>
    <row r="871" spans="2:16" ht="14.25" customHeight="1" x14ac:dyDescent="0.3">
      <c r="B871" s="57"/>
      <c r="C871" s="56"/>
      <c r="D871" s="2"/>
      <c r="F871" s="2"/>
      <c r="G871" s="2"/>
      <c r="H871" s="2"/>
      <c r="I871" s="2"/>
      <c r="P871" s="58"/>
    </row>
    <row r="872" spans="2:16" ht="14.25" customHeight="1" x14ac:dyDescent="0.3">
      <c r="B872" s="57"/>
      <c r="C872" s="56"/>
      <c r="D872" s="2"/>
      <c r="F872" s="2"/>
      <c r="G872" s="2"/>
      <c r="H872" s="2"/>
      <c r="I872" s="2"/>
      <c r="P872" s="58"/>
    </row>
    <row r="873" spans="2:16" ht="14.25" customHeight="1" x14ac:dyDescent="0.3">
      <c r="B873" s="57"/>
      <c r="C873" s="56"/>
      <c r="D873" s="2"/>
      <c r="F873" s="2"/>
      <c r="G873" s="2"/>
      <c r="H873" s="2"/>
      <c r="I873" s="2"/>
      <c r="P873" s="58"/>
    </row>
    <row r="874" spans="2:16" ht="14.25" customHeight="1" x14ac:dyDescent="0.3">
      <c r="B874" s="57"/>
      <c r="C874" s="56"/>
      <c r="D874" s="2"/>
      <c r="F874" s="2"/>
      <c r="G874" s="2"/>
      <c r="H874" s="2"/>
      <c r="I874" s="2"/>
      <c r="P874" s="58"/>
    </row>
    <row r="875" spans="2:16" ht="14.25" customHeight="1" x14ac:dyDescent="0.3">
      <c r="B875" s="57"/>
      <c r="C875" s="56"/>
      <c r="D875" s="2"/>
      <c r="F875" s="2"/>
      <c r="G875" s="2"/>
      <c r="H875" s="2"/>
      <c r="I875" s="2"/>
      <c r="P875" s="58"/>
    </row>
    <row r="876" spans="2:16" ht="14.25" customHeight="1" x14ac:dyDescent="0.3">
      <c r="B876" s="57"/>
      <c r="C876" s="56"/>
      <c r="D876" s="2"/>
      <c r="F876" s="2"/>
      <c r="G876" s="2"/>
      <c r="H876" s="2"/>
      <c r="I876" s="2"/>
      <c r="P876" s="58"/>
    </row>
    <row r="877" spans="2:16" ht="14.25" customHeight="1" x14ac:dyDescent="0.3">
      <c r="B877" s="57"/>
      <c r="C877" s="56"/>
      <c r="D877" s="2"/>
      <c r="F877" s="2"/>
      <c r="G877" s="2"/>
      <c r="H877" s="2"/>
      <c r="I877" s="2"/>
      <c r="P877" s="58"/>
    </row>
    <row r="878" spans="2:16" ht="14.25" customHeight="1" x14ac:dyDescent="0.3">
      <c r="B878" s="57"/>
      <c r="C878" s="56"/>
      <c r="D878" s="2"/>
      <c r="F878" s="2"/>
      <c r="G878" s="2"/>
      <c r="H878" s="2"/>
      <c r="I878" s="2"/>
      <c r="P878" s="58"/>
    </row>
    <row r="879" spans="2:16" ht="14.25" customHeight="1" x14ac:dyDescent="0.3">
      <c r="B879" s="57"/>
      <c r="C879" s="56"/>
      <c r="D879" s="2"/>
      <c r="F879" s="2"/>
      <c r="G879" s="2"/>
      <c r="H879" s="2"/>
      <c r="I879" s="2"/>
      <c r="P879" s="58"/>
    </row>
    <row r="880" spans="2:16" ht="14.25" customHeight="1" x14ac:dyDescent="0.3">
      <c r="B880" s="57"/>
      <c r="C880" s="56"/>
      <c r="D880" s="2"/>
      <c r="F880" s="2"/>
      <c r="G880" s="2"/>
      <c r="H880" s="2"/>
      <c r="I880" s="2"/>
      <c r="P880" s="58"/>
    </row>
    <row r="881" spans="2:16" ht="14.25" customHeight="1" x14ac:dyDescent="0.3">
      <c r="B881" s="57"/>
      <c r="C881" s="56"/>
      <c r="D881" s="2"/>
      <c r="F881" s="2"/>
      <c r="G881" s="2"/>
      <c r="H881" s="2"/>
      <c r="I881" s="2"/>
      <c r="P881" s="58"/>
    </row>
    <row r="882" spans="2:16" ht="14.25" customHeight="1" x14ac:dyDescent="0.3">
      <c r="B882" s="57"/>
      <c r="C882" s="56"/>
      <c r="D882" s="2"/>
      <c r="F882" s="2"/>
      <c r="G882" s="2"/>
      <c r="H882" s="2"/>
      <c r="I882" s="2"/>
      <c r="P882" s="58"/>
    </row>
    <row r="883" spans="2:16" ht="14.25" customHeight="1" x14ac:dyDescent="0.3">
      <c r="B883" s="57"/>
      <c r="C883" s="56"/>
      <c r="D883" s="2"/>
      <c r="F883" s="2"/>
      <c r="G883" s="2"/>
      <c r="H883" s="2"/>
      <c r="I883" s="2"/>
      <c r="P883" s="58"/>
    </row>
    <row r="884" spans="2:16" ht="14.25" customHeight="1" x14ac:dyDescent="0.3">
      <c r="B884" s="57"/>
      <c r="C884" s="56"/>
      <c r="D884" s="2"/>
      <c r="F884" s="2"/>
      <c r="G884" s="2"/>
      <c r="H884" s="2"/>
      <c r="I884" s="2"/>
      <c r="P884" s="58"/>
    </row>
    <row r="885" spans="2:16" ht="14.25" customHeight="1" x14ac:dyDescent="0.3">
      <c r="B885" s="57"/>
      <c r="C885" s="56"/>
      <c r="D885" s="2"/>
      <c r="F885" s="2"/>
      <c r="G885" s="2"/>
      <c r="H885" s="2"/>
      <c r="I885" s="2"/>
      <c r="P885" s="58"/>
    </row>
    <row r="886" spans="2:16" ht="14.25" customHeight="1" x14ac:dyDescent="0.3">
      <c r="B886" s="57"/>
      <c r="C886" s="56"/>
      <c r="D886" s="2"/>
      <c r="F886" s="2"/>
      <c r="G886" s="2"/>
      <c r="H886" s="2"/>
      <c r="I886" s="2"/>
      <c r="P886" s="58"/>
    </row>
    <row r="887" spans="2:16" ht="14.25" customHeight="1" x14ac:dyDescent="0.3">
      <c r="B887" s="57"/>
      <c r="C887" s="56"/>
      <c r="D887" s="2"/>
      <c r="F887" s="2"/>
      <c r="G887" s="2"/>
      <c r="H887" s="2"/>
      <c r="I887" s="2"/>
      <c r="P887" s="58"/>
    </row>
    <row r="888" spans="2:16" ht="14.25" customHeight="1" x14ac:dyDescent="0.3">
      <c r="B888" s="57"/>
      <c r="C888" s="56"/>
      <c r="D888" s="2"/>
      <c r="F888" s="2"/>
      <c r="G888" s="2"/>
      <c r="H888" s="2"/>
      <c r="I888" s="2"/>
      <c r="P888" s="58"/>
    </row>
    <row r="889" spans="2:16" ht="14.25" customHeight="1" x14ac:dyDescent="0.3">
      <c r="B889" s="57"/>
      <c r="C889" s="56"/>
      <c r="D889" s="2"/>
      <c r="F889" s="2"/>
      <c r="G889" s="2"/>
      <c r="H889" s="2"/>
      <c r="I889" s="2"/>
      <c r="P889" s="58"/>
    </row>
    <row r="890" spans="2:16" ht="14.25" customHeight="1" x14ac:dyDescent="0.3">
      <c r="B890" s="57"/>
      <c r="C890" s="56"/>
      <c r="D890" s="2"/>
      <c r="F890" s="2"/>
      <c r="G890" s="2"/>
      <c r="H890" s="2"/>
      <c r="I890" s="2"/>
      <c r="P890" s="58"/>
    </row>
    <row r="891" spans="2:16" ht="14.25" customHeight="1" x14ac:dyDescent="0.3">
      <c r="B891" s="57"/>
      <c r="C891" s="56"/>
      <c r="D891" s="2"/>
      <c r="F891" s="2"/>
      <c r="G891" s="2"/>
      <c r="H891" s="2"/>
      <c r="I891" s="2"/>
      <c r="P891" s="58"/>
    </row>
    <row r="892" spans="2:16" ht="14.25" customHeight="1" x14ac:dyDescent="0.3">
      <c r="B892" s="57"/>
      <c r="C892" s="56"/>
      <c r="D892" s="2"/>
      <c r="F892" s="2"/>
      <c r="G892" s="2"/>
      <c r="H892" s="2"/>
      <c r="I892" s="2"/>
      <c r="P892" s="58"/>
    </row>
    <row r="893" spans="2:16" ht="14.25" customHeight="1" x14ac:dyDescent="0.3">
      <c r="B893" s="57"/>
      <c r="C893" s="56"/>
      <c r="D893" s="2"/>
      <c r="F893" s="2"/>
      <c r="G893" s="2"/>
      <c r="H893" s="2"/>
      <c r="I893" s="2"/>
      <c r="P893" s="58"/>
    </row>
    <row r="894" spans="2:16" ht="14.25" customHeight="1" x14ac:dyDescent="0.3">
      <c r="B894" s="57"/>
      <c r="C894" s="56"/>
      <c r="D894" s="2"/>
      <c r="F894" s="2"/>
      <c r="G894" s="2"/>
      <c r="H894" s="2"/>
      <c r="I894" s="2"/>
      <c r="P894" s="58"/>
    </row>
    <row r="895" spans="2:16" ht="14.25" customHeight="1" x14ac:dyDescent="0.3">
      <c r="B895" s="57"/>
      <c r="C895" s="56"/>
      <c r="D895" s="2"/>
      <c r="F895" s="2"/>
      <c r="G895" s="2"/>
      <c r="H895" s="2"/>
      <c r="I895" s="2"/>
      <c r="P895" s="58"/>
    </row>
    <row r="896" spans="2:16" ht="14.25" customHeight="1" x14ac:dyDescent="0.3">
      <c r="B896" s="57"/>
      <c r="C896" s="56"/>
      <c r="D896" s="2"/>
      <c r="F896" s="2"/>
      <c r="G896" s="2"/>
      <c r="H896" s="2"/>
      <c r="I896" s="2"/>
      <c r="P896" s="58"/>
    </row>
    <row r="897" spans="2:16" ht="14.25" customHeight="1" x14ac:dyDescent="0.3">
      <c r="B897" s="57"/>
      <c r="C897" s="56"/>
      <c r="D897" s="2"/>
      <c r="F897" s="2"/>
      <c r="G897" s="2"/>
      <c r="H897" s="2"/>
      <c r="I897" s="2"/>
      <c r="P897" s="58"/>
    </row>
    <row r="898" spans="2:16" ht="14.25" customHeight="1" x14ac:dyDescent="0.3">
      <c r="B898" s="57"/>
      <c r="C898" s="56"/>
      <c r="D898" s="2"/>
      <c r="F898" s="2"/>
      <c r="G898" s="2"/>
      <c r="H898" s="2"/>
      <c r="I898" s="2"/>
      <c r="P898" s="58"/>
    </row>
    <row r="899" spans="2:16" ht="14.25" customHeight="1" x14ac:dyDescent="0.3">
      <c r="B899" s="57"/>
      <c r="C899" s="56"/>
      <c r="D899" s="2"/>
      <c r="F899" s="2"/>
      <c r="G899" s="2"/>
      <c r="H899" s="2"/>
      <c r="I899" s="2"/>
      <c r="P899" s="58"/>
    </row>
    <row r="900" spans="2:16" ht="14.25" customHeight="1" x14ac:dyDescent="0.3">
      <c r="B900" s="57"/>
      <c r="C900" s="56"/>
      <c r="D900" s="2"/>
      <c r="F900" s="2"/>
      <c r="G900" s="2"/>
      <c r="H900" s="2"/>
      <c r="I900" s="2"/>
      <c r="P900" s="58"/>
    </row>
    <row r="901" spans="2:16" ht="14.25" customHeight="1" x14ac:dyDescent="0.3">
      <c r="B901" s="57"/>
      <c r="C901" s="56"/>
      <c r="D901" s="2"/>
      <c r="F901" s="2"/>
      <c r="G901" s="2"/>
      <c r="H901" s="2"/>
      <c r="I901" s="2"/>
      <c r="P901" s="58"/>
    </row>
    <row r="902" spans="2:16" ht="14.25" customHeight="1" x14ac:dyDescent="0.3">
      <c r="B902" s="57"/>
      <c r="C902" s="56"/>
      <c r="D902" s="2"/>
      <c r="F902" s="2"/>
      <c r="G902" s="2"/>
      <c r="H902" s="2"/>
      <c r="I902" s="2"/>
      <c r="P902" s="58"/>
    </row>
    <row r="903" spans="2:16" ht="14.25" customHeight="1" x14ac:dyDescent="0.3">
      <c r="B903" s="57"/>
      <c r="C903" s="56"/>
      <c r="D903" s="2"/>
      <c r="F903" s="2"/>
      <c r="G903" s="2"/>
      <c r="H903" s="2"/>
      <c r="I903" s="2"/>
      <c r="P903" s="58"/>
    </row>
    <row r="904" spans="2:16" ht="14.25" customHeight="1" x14ac:dyDescent="0.3">
      <c r="B904" s="57"/>
      <c r="C904" s="56"/>
      <c r="D904" s="2"/>
      <c r="F904" s="2"/>
      <c r="G904" s="2"/>
      <c r="H904" s="2"/>
      <c r="I904" s="2"/>
      <c r="P904" s="58"/>
    </row>
    <row r="905" spans="2:16" ht="14.25" customHeight="1" x14ac:dyDescent="0.3">
      <c r="B905" s="57"/>
      <c r="C905" s="56"/>
      <c r="D905" s="2"/>
      <c r="F905" s="2"/>
      <c r="G905" s="2"/>
      <c r="H905" s="2"/>
      <c r="I905" s="2"/>
      <c r="P905" s="58"/>
    </row>
    <row r="906" spans="2:16" ht="14.25" customHeight="1" x14ac:dyDescent="0.3">
      <c r="B906" s="57"/>
      <c r="C906" s="56"/>
      <c r="D906" s="2"/>
      <c r="F906" s="2"/>
      <c r="G906" s="2"/>
      <c r="H906" s="2"/>
      <c r="I906" s="2"/>
      <c r="P906" s="58"/>
    </row>
    <row r="907" spans="2:16" ht="14.25" customHeight="1" x14ac:dyDescent="0.3">
      <c r="B907" s="57"/>
      <c r="C907" s="56"/>
      <c r="D907" s="2"/>
      <c r="F907" s="2"/>
      <c r="G907" s="2"/>
      <c r="H907" s="2"/>
      <c r="I907" s="2"/>
      <c r="P907" s="58"/>
    </row>
    <row r="908" spans="2:16" ht="14.25" customHeight="1" x14ac:dyDescent="0.3">
      <c r="B908" s="57"/>
      <c r="C908" s="56"/>
      <c r="D908" s="2"/>
      <c r="F908" s="2"/>
      <c r="G908" s="2"/>
      <c r="H908" s="2"/>
      <c r="I908" s="2"/>
      <c r="P908" s="58"/>
    </row>
    <row r="909" spans="2:16" ht="14.25" customHeight="1" x14ac:dyDescent="0.3">
      <c r="B909" s="57"/>
      <c r="C909" s="56"/>
      <c r="D909" s="2"/>
      <c r="F909" s="2"/>
      <c r="G909" s="2"/>
      <c r="H909" s="2"/>
      <c r="I909" s="2"/>
      <c r="P909" s="58"/>
    </row>
    <row r="910" spans="2:16" ht="14.25" customHeight="1" x14ac:dyDescent="0.3">
      <c r="B910" s="57"/>
      <c r="C910" s="56"/>
      <c r="D910" s="2"/>
      <c r="F910" s="2"/>
      <c r="G910" s="2"/>
      <c r="H910" s="2"/>
      <c r="I910" s="2"/>
      <c r="P910" s="58"/>
    </row>
    <row r="911" spans="2:16" ht="14.25" customHeight="1" x14ac:dyDescent="0.3">
      <c r="B911" s="57"/>
      <c r="C911" s="56"/>
      <c r="D911" s="2"/>
      <c r="F911" s="2"/>
      <c r="G911" s="2"/>
      <c r="H911" s="2"/>
      <c r="I911" s="2"/>
      <c r="P911" s="58"/>
    </row>
    <row r="912" spans="2:16" ht="14.25" customHeight="1" x14ac:dyDescent="0.3">
      <c r="B912" s="57"/>
      <c r="C912" s="56"/>
      <c r="D912" s="2"/>
      <c r="F912" s="2"/>
      <c r="G912" s="2"/>
      <c r="H912" s="2"/>
      <c r="I912" s="2"/>
      <c r="P912" s="58"/>
    </row>
    <row r="913" spans="2:16" ht="14.25" customHeight="1" x14ac:dyDescent="0.3">
      <c r="B913" s="57"/>
      <c r="C913" s="56"/>
      <c r="D913" s="2"/>
      <c r="F913" s="2"/>
      <c r="G913" s="2"/>
      <c r="H913" s="2"/>
      <c r="I913" s="2"/>
      <c r="P913" s="58"/>
    </row>
    <row r="914" spans="2:16" ht="14.25" customHeight="1" x14ac:dyDescent="0.3">
      <c r="B914" s="57"/>
      <c r="C914" s="56"/>
      <c r="D914" s="2"/>
      <c r="F914" s="2"/>
      <c r="G914" s="2"/>
      <c r="H914" s="2"/>
      <c r="I914" s="2"/>
      <c r="P914" s="58"/>
    </row>
    <row r="915" spans="2:16" ht="14.25" customHeight="1" x14ac:dyDescent="0.3">
      <c r="B915" s="57"/>
      <c r="C915" s="56"/>
      <c r="D915" s="2"/>
      <c r="F915" s="2"/>
      <c r="G915" s="2"/>
      <c r="H915" s="2"/>
      <c r="I915" s="2"/>
      <c r="P915" s="58"/>
    </row>
    <row r="916" spans="2:16" ht="14.25" customHeight="1" x14ac:dyDescent="0.3">
      <c r="B916" s="57"/>
      <c r="C916" s="56"/>
      <c r="D916" s="2"/>
      <c r="F916" s="2"/>
      <c r="G916" s="2"/>
      <c r="H916" s="2"/>
      <c r="I916" s="2"/>
      <c r="P916" s="58"/>
    </row>
    <row r="917" spans="2:16" ht="14.25" customHeight="1" x14ac:dyDescent="0.3">
      <c r="B917" s="57"/>
      <c r="C917" s="56"/>
      <c r="D917" s="2"/>
      <c r="F917" s="2"/>
      <c r="G917" s="2"/>
      <c r="H917" s="2"/>
      <c r="I917" s="2"/>
      <c r="P917" s="58"/>
    </row>
    <row r="918" spans="2:16" ht="14.25" customHeight="1" x14ac:dyDescent="0.3">
      <c r="B918" s="57"/>
      <c r="C918" s="56"/>
      <c r="D918" s="2"/>
      <c r="F918" s="2"/>
      <c r="G918" s="2"/>
      <c r="H918" s="2"/>
      <c r="I918" s="2"/>
      <c r="P918" s="58"/>
    </row>
    <row r="919" spans="2:16" ht="14.25" customHeight="1" x14ac:dyDescent="0.3">
      <c r="B919" s="57"/>
      <c r="C919" s="56"/>
      <c r="D919" s="2"/>
      <c r="F919" s="2"/>
      <c r="G919" s="2"/>
      <c r="H919" s="2"/>
      <c r="I919" s="2"/>
      <c r="P919" s="58"/>
    </row>
    <row r="920" spans="2:16" ht="14.25" customHeight="1" x14ac:dyDescent="0.3">
      <c r="B920" s="57"/>
      <c r="C920" s="56"/>
      <c r="D920" s="2"/>
      <c r="F920" s="2"/>
      <c r="G920" s="2"/>
      <c r="H920" s="2"/>
      <c r="I920" s="2"/>
      <c r="P920" s="58"/>
    </row>
    <row r="921" spans="2:16" ht="14.25" customHeight="1" x14ac:dyDescent="0.3">
      <c r="B921" s="57"/>
      <c r="C921" s="56"/>
      <c r="D921" s="2"/>
      <c r="F921" s="2"/>
      <c r="G921" s="2"/>
      <c r="H921" s="2"/>
      <c r="I921" s="2"/>
      <c r="P921" s="58"/>
    </row>
    <row r="922" spans="2:16" ht="14.25" customHeight="1" x14ac:dyDescent="0.3">
      <c r="B922" s="57"/>
      <c r="C922" s="56"/>
      <c r="D922" s="2"/>
      <c r="F922" s="2"/>
      <c r="G922" s="2"/>
      <c r="H922" s="2"/>
      <c r="I922" s="2"/>
      <c r="P922" s="58"/>
    </row>
    <row r="923" spans="2:16" ht="14.25" customHeight="1" x14ac:dyDescent="0.3">
      <c r="B923" s="57"/>
      <c r="C923" s="56"/>
      <c r="D923" s="2"/>
      <c r="F923" s="2"/>
      <c r="G923" s="2"/>
      <c r="H923" s="2"/>
      <c r="I923" s="2"/>
      <c r="P923" s="58"/>
    </row>
    <row r="924" spans="2:16" ht="14.25" customHeight="1" x14ac:dyDescent="0.3">
      <c r="B924" s="57"/>
      <c r="C924" s="56"/>
      <c r="D924" s="2"/>
      <c r="F924" s="2"/>
      <c r="G924" s="2"/>
      <c r="H924" s="2"/>
      <c r="I924" s="2"/>
      <c r="P924" s="58"/>
    </row>
    <row r="925" spans="2:16" ht="14.25" customHeight="1" x14ac:dyDescent="0.3">
      <c r="B925" s="57"/>
      <c r="C925" s="56"/>
      <c r="D925" s="2"/>
      <c r="F925" s="2"/>
      <c r="G925" s="2"/>
      <c r="H925" s="2"/>
      <c r="I925" s="2"/>
      <c r="P925" s="58"/>
    </row>
    <row r="926" spans="2:16" ht="14.25" customHeight="1" x14ac:dyDescent="0.3">
      <c r="B926" s="57"/>
      <c r="C926" s="56"/>
      <c r="D926" s="2"/>
      <c r="F926" s="2"/>
      <c r="G926" s="2"/>
      <c r="H926" s="2"/>
      <c r="I926" s="2"/>
      <c r="P926" s="58"/>
    </row>
    <row r="927" spans="2:16" ht="14.25" customHeight="1" x14ac:dyDescent="0.3">
      <c r="B927" s="57"/>
      <c r="C927" s="56"/>
      <c r="D927" s="2"/>
      <c r="F927" s="2"/>
      <c r="G927" s="2"/>
      <c r="H927" s="2"/>
      <c r="I927" s="2"/>
      <c r="P927" s="58"/>
    </row>
    <row r="928" spans="2:16" ht="14.25" customHeight="1" x14ac:dyDescent="0.3">
      <c r="B928" s="57"/>
      <c r="C928" s="56"/>
      <c r="D928" s="2"/>
      <c r="F928" s="2"/>
      <c r="G928" s="2"/>
      <c r="H928" s="2"/>
      <c r="I928" s="2"/>
      <c r="P928" s="58"/>
    </row>
    <row r="929" spans="2:16" ht="14.25" customHeight="1" x14ac:dyDescent="0.3">
      <c r="B929" s="57"/>
      <c r="C929" s="56"/>
      <c r="D929" s="2"/>
      <c r="F929" s="2"/>
      <c r="G929" s="2"/>
      <c r="H929" s="2"/>
      <c r="I929" s="2"/>
      <c r="P929" s="58"/>
    </row>
    <row r="930" spans="2:16" ht="14.25" customHeight="1" x14ac:dyDescent="0.3">
      <c r="B930" s="57"/>
      <c r="C930" s="56"/>
      <c r="D930" s="2"/>
      <c r="F930" s="2"/>
      <c r="G930" s="2"/>
      <c r="H930" s="2"/>
      <c r="I930" s="2"/>
      <c r="P930" s="58"/>
    </row>
    <row r="931" spans="2:16" ht="14.25" customHeight="1" x14ac:dyDescent="0.3">
      <c r="B931" s="57"/>
      <c r="C931" s="56"/>
      <c r="D931" s="2"/>
      <c r="F931" s="2"/>
      <c r="G931" s="2"/>
      <c r="H931" s="2"/>
      <c r="I931" s="2"/>
      <c r="P931" s="58"/>
    </row>
    <row r="932" spans="2:16" ht="14.25" customHeight="1" x14ac:dyDescent="0.3">
      <c r="B932" s="57"/>
      <c r="C932" s="56"/>
      <c r="D932" s="2"/>
      <c r="F932" s="2"/>
      <c r="G932" s="2"/>
      <c r="H932" s="2"/>
      <c r="I932" s="2"/>
      <c r="P932" s="58"/>
    </row>
    <row r="933" spans="2:16" ht="14.25" customHeight="1" x14ac:dyDescent="0.3">
      <c r="B933" s="57"/>
      <c r="C933" s="56"/>
      <c r="D933" s="2"/>
      <c r="F933" s="2"/>
      <c r="G933" s="2"/>
      <c r="H933" s="2"/>
      <c r="I933" s="2"/>
      <c r="P933" s="58"/>
    </row>
    <row r="934" spans="2:16" ht="14.25" customHeight="1" x14ac:dyDescent="0.3">
      <c r="B934" s="57"/>
      <c r="C934" s="56"/>
      <c r="D934" s="2"/>
      <c r="F934" s="2"/>
      <c r="G934" s="2"/>
      <c r="H934" s="2"/>
      <c r="I934" s="2"/>
      <c r="P934" s="58"/>
    </row>
    <row r="935" spans="2:16" ht="14.25" customHeight="1" x14ac:dyDescent="0.3">
      <c r="B935" s="57"/>
      <c r="C935" s="56"/>
      <c r="D935" s="2"/>
      <c r="F935" s="2"/>
      <c r="G935" s="2"/>
      <c r="H935" s="2"/>
      <c r="I935" s="2"/>
      <c r="P935" s="58"/>
    </row>
    <row r="936" spans="2:16" ht="14.25" customHeight="1" x14ac:dyDescent="0.3">
      <c r="B936" s="57"/>
      <c r="C936" s="56"/>
      <c r="D936" s="2"/>
      <c r="F936" s="2"/>
      <c r="G936" s="2"/>
      <c r="H936" s="2"/>
      <c r="I936" s="2"/>
      <c r="P936" s="58"/>
    </row>
    <row r="937" spans="2:16" ht="14.25" customHeight="1" x14ac:dyDescent="0.3">
      <c r="B937" s="57"/>
      <c r="C937" s="56"/>
      <c r="D937" s="2"/>
      <c r="F937" s="2"/>
      <c r="G937" s="2"/>
      <c r="H937" s="2"/>
      <c r="I937" s="2"/>
      <c r="P937" s="58"/>
    </row>
    <row r="938" spans="2:16" ht="14.25" customHeight="1" x14ac:dyDescent="0.3">
      <c r="B938" s="57"/>
      <c r="C938" s="56"/>
      <c r="D938" s="2"/>
      <c r="F938" s="2"/>
      <c r="G938" s="2"/>
      <c r="H938" s="2"/>
      <c r="I938" s="2"/>
      <c r="P938" s="58"/>
    </row>
    <row r="939" spans="2:16" ht="14.25" customHeight="1" x14ac:dyDescent="0.3">
      <c r="B939" s="57"/>
      <c r="C939" s="56"/>
      <c r="D939" s="2"/>
      <c r="F939" s="2"/>
      <c r="G939" s="2"/>
      <c r="H939" s="2"/>
      <c r="I939" s="2"/>
      <c r="P939" s="58"/>
    </row>
    <row r="940" spans="2:16" ht="14.25" customHeight="1" x14ac:dyDescent="0.3">
      <c r="B940" s="57"/>
      <c r="C940" s="56"/>
      <c r="D940" s="2"/>
      <c r="F940" s="2"/>
      <c r="G940" s="2"/>
      <c r="H940" s="2"/>
      <c r="I940" s="2"/>
      <c r="P940" s="58"/>
    </row>
    <row r="941" spans="2:16" ht="14.25" customHeight="1" x14ac:dyDescent="0.3">
      <c r="B941" s="57"/>
      <c r="C941" s="56"/>
      <c r="D941" s="2"/>
      <c r="F941" s="2"/>
      <c r="G941" s="2"/>
      <c r="H941" s="2"/>
      <c r="I941" s="2"/>
      <c r="P941" s="58"/>
    </row>
    <row r="942" spans="2:16" ht="14.25" customHeight="1" x14ac:dyDescent="0.3">
      <c r="B942" s="57"/>
      <c r="C942" s="56"/>
      <c r="D942" s="2"/>
      <c r="F942" s="2"/>
      <c r="G942" s="2"/>
      <c r="H942" s="2"/>
      <c r="I942" s="2"/>
      <c r="P942" s="58"/>
    </row>
    <row r="943" spans="2:16" ht="14.25" customHeight="1" x14ac:dyDescent="0.3">
      <c r="B943" s="57"/>
      <c r="C943" s="56"/>
      <c r="D943" s="2"/>
      <c r="F943" s="2"/>
      <c r="G943" s="2"/>
      <c r="H943" s="2"/>
      <c r="I943" s="2"/>
      <c r="P943" s="58"/>
    </row>
    <row r="944" spans="2:16" ht="14.25" customHeight="1" x14ac:dyDescent="0.3">
      <c r="B944" s="57"/>
      <c r="C944" s="56"/>
      <c r="D944" s="2"/>
      <c r="F944" s="2"/>
      <c r="G944" s="2"/>
      <c r="H944" s="2"/>
      <c r="I944" s="2"/>
      <c r="P944" s="58"/>
    </row>
    <row r="945" spans="2:16" ht="14.25" customHeight="1" x14ac:dyDescent="0.3">
      <c r="B945" s="57"/>
      <c r="C945" s="56"/>
      <c r="D945" s="2"/>
      <c r="F945" s="2"/>
      <c r="G945" s="2"/>
      <c r="H945" s="2"/>
      <c r="I945" s="2"/>
      <c r="P945" s="58"/>
    </row>
    <row r="946" spans="2:16" ht="14.25" customHeight="1" x14ac:dyDescent="0.3">
      <c r="B946" s="57"/>
      <c r="C946" s="56"/>
      <c r="D946" s="2"/>
      <c r="F946" s="2"/>
      <c r="G946" s="2"/>
      <c r="H946" s="2"/>
      <c r="I946" s="2"/>
      <c r="P946" s="58"/>
    </row>
    <row r="947" spans="2:16" ht="14.25" customHeight="1" x14ac:dyDescent="0.3">
      <c r="B947" s="57"/>
      <c r="C947" s="56"/>
      <c r="D947" s="2"/>
      <c r="F947" s="2"/>
      <c r="G947" s="2"/>
      <c r="H947" s="2"/>
      <c r="I947" s="2"/>
      <c r="P947" s="58"/>
    </row>
    <row r="948" spans="2:16" ht="14.25" customHeight="1" x14ac:dyDescent="0.3">
      <c r="B948" s="57"/>
      <c r="C948" s="56"/>
      <c r="D948" s="2"/>
      <c r="F948" s="2"/>
      <c r="G948" s="2"/>
      <c r="H948" s="2"/>
      <c r="I948" s="2"/>
      <c r="P948" s="58"/>
    </row>
    <row r="949" spans="2:16" ht="14.25" customHeight="1" x14ac:dyDescent="0.3">
      <c r="B949" s="57"/>
      <c r="C949" s="56"/>
      <c r="D949" s="2"/>
      <c r="F949" s="2"/>
      <c r="G949" s="2"/>
      <c r="H949" s="2"/>
      <c r="I949" s="2"/>
      <c r="P949" s="58"/>
    </row>
    <row r="950" spans="2:16" ht="14.25" customHeight="1" x14ac:dyDescent="0.3">
      <c r="B950" s="57"/>
      <c r="C950" s="56"/>
      <c r="D950" s="2"/>
      <c r="F950" s="2"/>
      <c r="G950" s="2"/>
      <c r="H950" s="2"/>
      <c r="I950" s="2"/>
      <c r="P950" s="58"/>
    </row>
    <row r="951" spans="2:16" ht="14.25" customHeight="1" x14ac:dyDescent="0.3">
      <c r="B951" s="57"/>
      <c r="C951" s="56"/>
      <c r="D951" s="2"/>
      <c r="F951" s="2"/>
      <c r="G951" s="2"/>
      <c r="H951" s="2"/>
      <c r="I951" s="2"/>
      <c r="P951" s="58"/>
    </row>
    <row r="952" spans="2:16" ht="14.25" customHeight="1" x14ac:dyDescent="0.3">
      <c r="B952" s="57"/>
      <c r="C952" s="56"/>
      <c r="D952" s="2"/>
      <c r="F952" s="2"/>
      <c r="G952" s="2"/>
      <c r="H952" s="2"/>
      <c r="I952" s="2"/>
      <c r="P952" s="58"/>
    </row>
    <row r="953" spans="2:16" ht="14.25" customHeight="1" x14ac:dyDescent="0.3">
      <c r="B953" s="57"/>
      <c r="C953" s="56"/>
      <c r="D953" s="2"/>
      <c r="F953" s="2"/>
      <c r="G953" s="2"/>
      <c r="H953" s="2"/>
      <c r="I953" s="2"/>
      <c r="P953" s="58"/>
    </row>
    <row r="954" spans="2:16" ht="14.25" customHeight="1" x14ac:dyDescent="0.3">
      <c r="B954" s="57"/>
      <c r="C954" s="56"/>
      <c r="D954" s="2"/>
      <c r="F954" s="2"/>
      <c r="G954" s="2"/>
      <c r="H954" s="2"/>
      <c r="I954" s="2"/>
      <c r="P954" s="58"/>
    </row>
    <row r="955" spans="2:16" ht="14.25" customHeight="1" x14ac:dyDescent="0.3">
      <c r="B955" s="57"/>
      <c r="C955" s="56"/>
      <c r="D955" s="2"/>
      <c r="F955" s="2"/>
      <c r="G955" s="2"/>
      <c r="H955" s="2"/>
      <c r="I955" s="2"/>
      <c r="P955" s="58"/>
    </row>
    <row r="956" spans="2:16" ht="14.25" customHeight="1" x14ac:dyDescent="0.3">
      <c r="B956" s="57"/>
      <c r="C956" s="56"/>
      <c r="D956" s="2"/>
      <c r="F956" s="2"/>
      <c r="G956" s="2"/>
      <c r="H956" s="2"/>
      <c r="I956" s="2"/>
      <c r="P956" s="58"/>
    </row>
    <row r="957" spans="2:16" ht="14.25" customHeight="1" x14ac:dyDescent="0.3">
      <c r="B957" s="57"/>
      <c r="C957" s="56"/>
      <c r="D957" s="2"/>
      <c r="F957" s="2"/>
      <c r="G957" s="2"/>
      <c r="H957" s="2"/>
      <c r="I957" s="2"/>
      <c r="P957" s="58"/>
    </row>
    <row r="958" spans="2:16" ht="14.25" customHeight="1" x14ac:dyDescent="0.3">
      <c r="B958" s="57"/>
      <c r="C958" s="56"/>
      <c r="D958" s="2"/>
      <c r="F958" s="2"/>
      <c r="G958" s="2"/>
      <c r="H958" s="2"/>
      <c r="I958" s="2"/>
      <c r="P958" s="58"/>
    </row>
    <row r="959" spans="2:16" ht="14.25" customHeight="1" x14ac:dyDescent="0.3">
      <c r="B959" s="57"/>
      <c r="C959" s="56"/>
      <c r="D959" s="2"/>
      <c r="F959" s="2"/>
      <c r="G959" s="2"/>
      <c r="H959" s="2"/>
      <c r="I959" s="2"/>
      <c r="P959" s="58"/>
    </row>
    <row r="960" spans="2:16" ht="14.25" customHeight="1" x14ac:dyDescent="0.3">
      <c r="B960" s="57"/>
      <c r="C960" s="56"/>
      <c r="D960" s="2"/>
      <c r="F960" s="2"/>
      <c r="G960" s="2"/>
      <c r="H960" s="2"/>
      <c r="I960" s="2"/>
      <c r="P960" s="58"/>
    </row>
    <row r="961" spans="2:16" ht="14.25" customHeight="1" x14ac:dyDescent="0.3">
      <c r="B961" s="57"/>
      <c r="C961" s="56"/>
      <c r="D961" s="2"/>
      <c r="F961" s="2"/>
      <c r="G961" s="2"/>
      <c r="H961" s="2"/>
      <c r="I961" s="2"/>
      <c r="P961" s="58"/>
    </row>
    <row r="962" spans="2:16" ht="14.25" customHeight="1" x14ac:dyDescent="0.3">
      <c r="B962" s="57"/>
      <c r="C962" s="56"/>
      <c r="D962" s="2"/>
      <c r="F962" s="2"/>
      <c r="G962" s="2"/>
      <c r="H962" s="2"/>
      <c r="I962" s="2"/>
      <c r="P962" s="58"/>
    </row>
    <row r="963" spans="2:16" ht="14.25" customHeight="1" x14ac:dyDescent="0.3">
      <c r="B963" s="57"/>
      <c r="C963" s="56"/>
      <c r="D963" s="2"/>
      <c r="F963" s="2"/>
      <c r="G963" s="2"/>
      <c r="H963" s="2"/>
      <c r="I963" s="2"/>
      <c r="P963" s="58"/>
    </row>
    <row r="964" spans="2:16" ht="14.25" customHeight="1" x14ac:dyDescent="0.3">
      <c r="B964" s="57"/>
      <c r="C964" s="56"/>
      <c r="D964" s="2"/>
      <c r="F964" s="2"/>
      <c r="G964" s="2"/>
      <c r="H964" s="2"/>
      <c r="I964" s="2"/>
      <c r="P964" s="58"/>
    </row>
    <row r="965" spans="2:16" ht="14.25" customHeight="1" x14ac:dyDescent="0.3">
      <c r="B965" s="57"/>
      <c r="C965" s="56"/>
      <c r="D965" s="2"/>
      <c r="F965" s="2"/>
      <c r="G965" s="2"/>
      <c r="H965" s="2"/>
      <c r="I965" s="2"/>
      <c r="P965" s="58"/>
    </row>
    <row r="966" spans="2:16" ht="14.25" customHeight="1" x14ac:dyDescent="0.3">
      <c r="B966" s="57"/>
      <c r="C966" s="56"/>
      <c r="D966" s="2"/>
      <c r="F966" s="2"/>
      <c r="G966" s="2"/>
      <c r="H966" s="2"/>
      <c r="I966" s="2"/>
      <c r="P966" s="58"/>
    </row>
    <row r="967" spans="2:16" ht="14.25" customHeight="1" x14ac:dyDescent="0.3">
      <c r="B967" s="57"/>
      <c r="C967" s="56"/>
      <c r="D967" s="2"/>
      <c r="F967" s="2"/>
      <c r="G967" s="2"/>
      <c r="H967" s="2"/>
      <c r="I967" s="2"/>
      <c r="P967" s="58"/>
    </row>
    <row r="968" spans="2:16" ht="14.25" customHeight="1" x14ac:dyDescent="0.3">
      <c r="B968" s="57"/>
      <c r="C968" s="56"/>
      <c r="D968" s="2"/>
      <c r="F968" s="2"/>
      <c r="G968" s="2"/>
      <c r="H968" s="2"/>
      <c r="I968" s="2"/>
      <c r="P968" s="58"/>
    </row>
    <row r="969" spans="2:16" ht="14.25" customHeight="1" x14ac:dyDescent="0.3">
      <c r="B969" s="57"/>
      <c r="C969" s="56"/>
      <c r="D969" s="2"/>
      <c r="F969" s="2"/>
      <c r="G969" s="2"/>
      <c r="H969" s="2"/>
      <c r="I969" s="2"/>
      <c r="P969" s="58"/>
    </row>
    <row r="970" spans="2:16" ht="14.25" customHeight="1" x14ac:dyDescent="0.3">
      <c r="B970" s="57"/>
      <c r="C970" s="56"/>
      <c r="D970" s="2"/>
      <c r="F970" s="2"/>
      <c r="G970" s="2"/>
      <c r="H970" s="2"/>
      <c r="I970" s="2"/>
      <c r="P970" s="58"/>
    </row>
    <row r="971" spans="2:16" ht="14.25" customHeight="1" x14ac:dyDescent="0.3">
      <c r="B971" s="57"/>
      <c r="C971" s="56"/>
      <c r="D971" s="2"/>
      <c r="F971" s="2"/>
      <c r="G971" s="2"/>
      <c r="H971" s="2"/>
      <c r="I971" s="2"/>
      <c r="P971" s="58"/>
    </row>
    <row r="972" spans="2:16" ht="14.25" customHeight="1" x14ac:dyDescent="0.3">
      <c r="B972" s="57"/>
      <c r="C972" s="56"/>
      <c r="D972" s="2"/>
      <c r="F972" s="2"/>
      <c r="G972" s="2"/>
      <c r="H972" s="2"/>
      <c r="I972" s="2"/>
      <c r="P972" s="58"/>
    </row>
    <row r="973" spans="2:16" ht="14.25" customHeight="1" x14ac:dyDescent="0.3">
      <c r="B973" s="57"/>
      <c r="C973" s="56"/>
      <c r="D973" s="2"/>
      <c r="F973" s="2"/>
      <c r="G973" s="2"/>
      <c r="H973" s="2"/>
      <c r="I973" s="2"/>
      <c r="P973" s="58"/>
    </row>
    <row r="974" spans="2:16" ht="14.25" customHeight="1" x14ac:dyDescent="0.3">
      <c r="B974" s="57"/>
      <c r="C974" s="56"/>
      <c r="D974" s="2"/>
      <c r="F974" s="2"/>
      <c r="G974" s="2"/>
      <c r="H974" s="2"/>
      <c r="I974" s="2"/>
      <c r="P974" s="58"/>
    </row>
    <row r="975" spans="2:16" ht="14.25" customHeight="1" x14ac:dyDescent="0.3">
      <c r="B975" s="57"/>
      <c r="C975" s="56"/>
      <c r="D975" s="2"/>
      <c r="F975" s="2"/>
      <c r="G975" s="2"/>
      <c r="H975" s="2"/>
      <c r="I975" s="2"/>
      <c r="P975" s="58"/>
    </row>
    <row r="976" spans="2:16" ht="14.25" customHeight="1" x14ac:dyDescent="0.3">
      <c r="B976" s="57"/>
      <c r="C976" s="56"/>
      <c r="D976" s="2"/>
      <c r="F976" s="2"/>
      <c r="G976" s="2"/>
      <c r="H976" s="2"/>
      <c r="I976" s="2"/>
      <c r="P976" s="58"/>
    </row>
    <row r="977" spans="2:16" ht="14.25" customHeight="1" x14ac:dyDescent="0.3">
      <c r="B977" s="57"/>
      <c r="C977" s="56"/>
      <c r="D977" s="2"/>
      <c r="F977" s="2"/>
      <c r="G977" s="2"/>
      <c r="H977" s="2"/>
      <c r="I977" s="2"/>
      <c r="P977" s="58"/>
    </row>
    <row r="978" spans="2:16" ht="14.25" customHeight="1" x14ac:dyDescent="0.3">
      <c r="B978" s="57"/>
      <c r="C978" s="56"/>
      <c r="D978" s="2"/>
      <c r="F978" s="2"/>
      <c r="G978" s="2"/>
      <c r="H978" s="2"/>
      <c r="I978" s="2"/>
      <c r="P978" s="58"/>
    </row>
    <row r="979" spans="2:16" ht="14.25" customHeight="1" x14ac:dyDescent="0.3">
      <c r="B979" s="57"/>
      <c r="C979" s="56"/>
      <c r="D979" s="2"/>
      <c r="F979" s="2"/>
      <c r="G979" s="2"/>
      <c r="H979" s="2"/>
      <c r="I979" s="2"/>
      <c r="P979" s="58"/>
    </row>
    <row r="980" spans="2:16" ht="14.25" customHeight="1" x14ac:dyDescent="0.3">
      <c r="B980" s="57"/>
      <c r="C980" s="56"/>
      <c r="D980" s="2"/>
      <c r="F980" s="2"/>
      <c r="G980" s="2"/>
      <c r="H980" s="2"/>
      <c r="I980" s="2"/>
      <c r="P980" s="58"/>
    </row>
    <row r="981" spans="2:16" ht="14.25" customHeight="1" x14ac:dyDescent="0.3">
      <c r="B981" s="57"/>
      <c r="C981" s="56"/>
      <c r="D981" s="2"/>
      <c r="F981" s="2"/>
      <c r="G981" s="2"/>
      <c r="H981" s="2"/>
      <c r="I981" s="2"/>
      <c r="P981" s="58"/>
    </row>
    <row r="982" spans="2:16" ht="14.25" customHeight="1" x14ac:dyDescent="0.3">
      <c r="B982" s="57"/>
      <c r="C982" s="56"/>
      <c r="D982" s="2"/>
      <c r="F982" s="2"/>
      <c r="G982" s="2"/>
      <c r="H982" s="2"/>
      <c r="I982" s="2"/>
      <c r="P982" s="58"/>
    </row>
    <row r="983" spans="2:16" ht="14.25" customHeight="1" x14ac:dyDescent="0.3">
      <c r="B983" s="57"/>
      <c r="C983" s="56"/>
      <c r="D983" s="2"/>
      <c r="F983" s="2"/>
      <c r="G983" s="2"/>
      <c r="H983" s="2"/>
      <c r="I983" s="2"/>
      <c r="P983" s="58"/>
    </row>
    <row r="984" spans="2:16" ht="14.25" customHeight="1" x14ac:dyDescent="0.3">
      <c r="B984" s="57"/>
      <c r="C984" s="56"/>
      <c r="D984" s="2"/>
      <c r="F984" s="2"/>
      <c r="G984" s="2"/>
      <c r="H984" s="2"/>
      <c r="I984" s="2"/>
      <c r="P984" s="58"/>
    </row>
    <row r="985" spans="2:16" ht="14.25" customHeight="1" x14ac:dyDescent="0.3">
      <c r="B985" s="57"/>
      <c r="C985" s="56"/>
      <c r="D985" s="2"/>
      <c r="F985" s="2"/>
      <c r="G985" s="2"/>
      <c r="H985" s="2"/>
      <c r="I985" s="2"/>
      <c r="P985" s="58"/>
    </row>
    <row r="986" spans="2:16" ht="14.25" customHeight="1" x14ac:dyDescent="0.3">
      <c r="B986" s="57"/>
      <c r="C986" s="56"/>
      <c r="D986" s="2"/>
      <c r="F986" s="2"/>
      <c r="G986" s="2"/>
      <c r="H986" s="2"/>
      <c r="I986" s="2"/>
      <c r="P986" s="58"/>
    </row>
    <row r="987" spans="2:16" ht="14.25" customHeight="1" x14ac:dyDescent="0.3">
      <c r="B987" s="57"/>
      <c r="C987" s="56"/>
      <c r="D987" s="2"/>
      <c r="F987" s="2"/>
      <c r="G987" s="2"/>
      <c r="H987" s="2"/>
      <c r="I987" s="2"/>
      <c r="P987" s="58"/>
    </row>
    <row r="988" spans="2:16" ht="14.25" customHeight="1" x14ac:dyDescent="0.3">
      <c r="B988" s="57"/>
      <c r="C988" s="56"/>
      <c r="D988" s="2"/>
      <c r="F988" s="2"/>
      <c r="G988" s="2"/>
      <c r="H988" s="2"/>
      <c r="I988" s="2"/>
      <c r="P988" s="58"/>
    </row>
    <row r="989" spans="2:16" ht="14.25" customHeight="1" x14ac:dyDescent="0.3">
      <c r="B989" s="57"/>
      <c r="C989" s="56"/>
      <c r="D989" s="2"/>
      <c r="F989" s="2"/>
      <c r="G989" s="2"/>
      <c r="H989" s="2"/>
      <c r="I989" s="2"/>
      <c r="P989" s="58"/>
    </row>
    <row r="990" spans="2:16" ht="14.25" customHeight="1" x14ac:dyDescent="0.3">
      <c r="B990" s="57"/>
      <c r="C990" s="56"/>
      <c r="D990" s="2"/>
      <c r="F990" s="2"/>
      <c r="G990" s="2"/>
      <c r="H990" s="2"/>
      <c r="I990" s="2"/>
      <c r="P990" s="58"/>
    </row>
    <row r="991" spans="2:16" ht="14.25" customHeight="1" x14ac:dyDescent="0.3">
      <c r="B991" s="57"/>
      <c r="C991" s="56"/>
      <c r="D991" s="2"/>
      <c r="F991" s="2"/>
      <c r="G991" s="2"/>
      <c r="H991" s="2"/>
      <c r="I991" s="2"/>
      <c r="P991" s="58"/>
    </row>
    <row r="992" spans="2:16" ht="14.25" customHeight="1" x14ac:dyDescent="0.3">
      <c r="B992" s="57"/>
      <c r="C992" s="56"/>
      <c r="D992" s="2"/>
      <c r="F992" s="2"/>
      <c r="G992" s="2"/>
      <c r="H992" s="2"/>
      <c r="I992" s="2"/>
      <c r="P992" s="58"/>
    </row>
    <row r="993" spans="2:16" ht="14.25" customHeight="1" x14ac:dyDescent="0.3">
      <c r="B993" s="57"/>
      <c r="C993" s="56"/>
      <c r="D993" s="2"/>
      <c r="F993" s="2"/>
      <c r="G993" s="2"/>
      <c r="H993" s="2"/>
      <c r="I993" s="2"/>
      <c r="P993" s="58"/>
    </row>
    <row r="994" spans="2:16" ht="14.25" customHeight="1" x14ac:dyDescent="0.3">
      <c r="B994" s="57"/>
      <c r="C994" s="56"/>
      <c r="D994" s="2"/>
      <c r="F994" s="2"/>
      <c r="G994" s="2"/>
      <c r="H994" s="2"/>
      <c r="I994" s="2"/>
      <c r="P994" s="58"/>
    </row>
    <row r="995" spans="2:16" ht="14.25" customHeight="1" x14ac:dyDescent="0.3">
      <c r="B995" s="57"/>
      <c r="C995" s="56"/>
      <c r="D995" s="2"/>
      <c r="F995" s="2"/>
      <c r="G995" s="2"/>
      <c r="H995" s="2"/>
      <c r="I995" s="2"/>
      <c r="P995" s="58"/>
    </row>
    <row r="996" spans="2:16" ht="14.25" customHeight="1" x14ac:dyDescent="0.3">
      <c r="B996" s="57"/>
      <c r="C996" s="56"/>
      <c r="D996" s="2"/>
      <c r="F996" s="2"/>
      <c r="G996" s="2"/>
      <c r="H996" s="2"/>
      <c r="I996" s="2"/>
      <c r="P996" s="58"/>
    </row>
    <row r="997" spans="2:16" ht="14.25" customHeight="1" x14ac:dyDescent="0.3">
      <c r="B997" s="57"/>
      <c r="C997" s="56"/>
      <c r="D997" s="2"/>
      <c r="F997" s="2"/>
      <c r="G997" s="2"/>
      <c r="H997" s="2"/>
      <c r="I997" s="2"/>
      <c r="P997" s="58"/>
    </row>
    <row r="998" spans="2:16" ht="14.25" customHeight="1" x14ac:dyDescent="0.3">
      <c r="B998" s="57"/>
      <c r="C998" s="56"/>
      <c r="D998" s="2"/>
      <c r="F998" s="2"/>
      <c r="G998" s="2"/>
      <c r="H998" s="2"/>
      <c r="I998" s="2"/>
      <c r="P998" s="58"/>
    </row>
    <row r="999" spans="2:16" ht="14.25" customHeight="1" x14ac:dyDescent="0.3">
      <c r="B999" s="57"/>
      <c r="C999" s="56"/>
      <c r="D999" s="2"/>
      <c r="F999" s="2"/>
      <c r="G999" s="2"/>
      <c r="H999" s="2"/>
      <c r="I999" s="2"/>
      <c r="P999" s="58"/>
    </row>
    <row r="1000" spans="2:16" ht="14.25" customHeight="1" x14ac:dyDescent="0.3">
      <c r="B1000" s="57"/>
      <c r="C1000" s="56"/>
      <c r="D1000" s="2"/>
      <c r="F1000" s="2"/>
      <c r="G1000" s="2"/>
      <c r="H1000" s="2"/>
      <c r="I1000" s="2"/>
      <c r="P1000" s="58"/>
    </row>
    <row r="1001" spans="2:16" ht="14.25" customHeight="1" x14ac:dyDescent="0.3">
      <c r="B1001" s="57"/>
      <c r="C1001" s="56"/>
      <c r="D1001" s="2"/>
      <c r="F1001" s="2"/>
      <c r="G1001" s="2"/>
      <c r="H1001" s="2"/>
      <c r="I1001" s="2"/>
      <c r="P1001" s="58"/>
    </row>
    <row r="1002" spans="2:16" ht="14.25" customHeight="1" x14ac:dyDescent="0.3">
      <c r="B1002" s="57"/>
      <c r="C1002" s="56"/>
      <c r="D1002" s="2"/>
      <c r="F1002" s="2"/>
      <c r="G1002" s="2"/>
      <c r="H1002" s="2"/>
      <c r="I1002" s="2"/>
      <c r="P1002" s="58"/>
    </row>
    <row r="1003" spans="2:16" ht="14.25" customHeight="1" x14ac:dyDescent="0.3">
      <c r="B1003" s="57"/>
      <c r="C1003" s="56"/>
      <c r="D1003" s="2"/>
      <c r="F1003" s="2"/>
      <c r="G1003" s="2"/>
      <c r="H1003" s="2"/>
      <c r="I1003" s="2"/>
      <c r="P1003" s="58"/>
    </row>
    <row r="1004" spans="2:16" ht="14.25" customHeight="1" x14ac:dyDescent="0.3">
      <c r="B1004" s="57"/>
      <c r="C1004" s="56"/>
      <c r="D1004" s="2"/>
      <c r="F1004" s="2"/>
      <c r="G1004" s="2"/>
      <c r="H1004" s="2"/>
      <c r="I1004" s="2"/>
      <c r="P1004" s="58"/>
    </row>
    <row r="1005" spans="2:16" ht="14.25" customHeight="1" x14ac:dyDescent="0.3">
      <c r="B1005" s="57"/>
      <c r="C1005" s="56"/>
      <c r="D1005" s="2"/>
      <c r="F1005" s="2"/>
      <c r="G1005" s="2"/>
      <c r="H1005" s="2"/>
      <c r="I1005" s="2"/>
      <c r="P1005" s="58"/>
    </row>
    <row r="1006" spans="2:16" ht="14.25" customHeight="1" x14ac:dyDescent="0.3">
      <c r="B1006" s="57"/>
      <c r="C1006" s="56"/>
      <c r="D1006" s="2"/>
      <c r="F1006" s="2"/>
      <c r="G1006" s="2"/>
      <c r="H1006" s="2"/>
      <c r="I1006" s="2"/>
      <c r="P1006" s="58"/>
    </row>
    <row r="1007" spans="2:16" ht="14.25" customHeight="1" x14ac:dyDescent="0.3">
      <c r="B1007" s="57"/>
      <c r="C1007" s="56"/>
      <c r="D1007" s="2"/>
      <c r="F1007" s="2"/>
      <c r="G1007" s="2"/>
      <c r="H1007" s="2"/>
      <c r="I1007" s="2"/>
      <c r="P1007" s="58"/>
    </row>
    <row r="1008" spans="2:16" ht="15" customHeight="1" x14ac:dyDescent="0.3">
      <c r="B1008" s="57"/>
      <c r="C1008" s="56"/>
      <c r="D1008" s="2"/>
      <c r="F1008" s="2"/>
      <c r="G1008" s="2"/>
      <c r="H1008" s="2"/>
      <c r="I1008" s="2"/>
      <c r="P1008" s="58"/>
    </row>
    <row r="1009" spans="2:16" ht="15" customHeight="1" x14ac:dyDescent="0.3">
      <c r="B1009" s="57"/>
      <c r="C1009" s="56"/>
      <c r="D1009" s="2"/>
      <c r="F1009" s="2"/>
      <c r="G1009" s="2"/>
      <c r="H1009" s="2"/>
      <c r="I1009" s="2"/>
      <c r="P1009" s="58"/>
    </row>
    <row r="1010" spans="2:16" ht="15" customHeight="1" x14ac:dyDescent="0.3">
      <c r="B1010" s="57"/>
      <c r="C1010" s="56"/>
      <c r="D1010" s="2"/>
      <c r="F1010" s="2"/>
      <c r="G1010" s="2"/>
      <c r="H1010" s="2"/>
      <c r="I1010" s="2"/>
      <c r="P1010" s="58"/>
    </row>
    <row r="1011" spans="2:16" ht="15" customHeight="1" x14ac:dyDescent="0.3">
      <c r="B1011" s="57"/>
      <c r="C1011" s="56"/>
      <c r="D1011" s="2"/>
      <c r="F1011" s="2"/>
      <c r="G1011" s="2"/>
      <c r="H1011" s="2"/>
      <c r="I1011" s="2"/>
      <c r="P1011" s="58"/>
    </row>
  </sheetData>
  <conditionalFormatting sqref="P55:P1011 P1:P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'3) costo mp'!#REF!</xm:f>
          </x14:formula1>
          <xm:sqref>C124:C1011</xm:sqref>
        </x14:dataValidation>
        <x14:dataValidation type="list" allowBlank="1" showErrorMessage="1" xr:uid="{9D9CEBFF-5A74-45B3-ABE8-79B5B91942DD}">
          <x14:formula1>
            <xm:f>'3) costo mp'!$B$4:$B$19</xm:f>
          </x14:formula1>
          <xm:sqref>C3:C123</xm:sqref>
        </x14:dataValidation>
        <x14:dataValidation type="list" allowBlank="1" showInputMessage="1" showErrorMessage="1" xr:uid="{3AD92B0D-6A56-4C0A-8EC6-7EEC9088F12E}">
          <x14:formula1>
            <xm:f>'4) Packaging'!$B$4:$B$87</xm:f>
          </x14:formula1>
          <xm:sqref>B3:B1048576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448D-5827-4A50-9A47-AF48A27AE914}">
  <dimension ref="A3:J179"/>
  <sheetViews>
    <sheetView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J27" sqref="J27"/>
    </sheetView>
  </sheetViews>
  <sheetFormatPr baseColWidth="10" defaultRowHeight="14.4" x14ac:dyDescent="0.3"/>
  <cols>
    <col min="1" max="1" width="25.6640625" bestFit="1" customWidth="1"/>
    <col min="2" max="2" width="22.5546875" style="120" bestFit="1" customWidth="1"/>
    <col min="3" max="3" width="21.77734375" style="120" bestFit="1" customWidth="1"/>
    <col min="4" max="4" width="18" style="120" bestFit="1" customWidth="1"/>
    <col min="5" max="5" width="21.77734375" style="119" bestFit="1" customWidth="1"/>
    <col min="6" max="6" width="21.77734375" bestFit="1" customWidth="1"/>
    <col min="7" max="7" width="23" style="132" bestFit="1" customWidth="1"/>
    <col min="8" max="8" width="19.6640625" customWidth="1"/>
  </cols>
  <sheetData>
    <row r="3" spans="1:9" x14ac:dyDescent="0.3">
      <c r="A3" s="42" t="s">
        <v>138</v>
      </c>
      <c r="B3" s="122" t="s">
        <v>141</v>
      </c>
      <c r="C3" s="123" t="s">
        <v>143</v>
      </c>
      <c r="D3" s="124" t="s">
        <v>142</v>
      </c>
      <c r="E3" s="119" t="s">
        <v>145</v>
      </c>
      <c r="F3" s="121" t="s">
        <v>144</v>
      </c>
      <c r="G3" s="131" t="s">
        <v>147</v>
      </c>
      <c r="H3" s="121" t="s">
        <v>146</v>
      </c>
    </row>
    <row r="4" spans="1:9" x14ac:dyDescent="0.3">
      <c r="A4" s="49" t="s">
        <v>88</v>
      </c>
      <c r="B4" s="122">
        <v>578.12713472222231</v>
      </c>
      <c r="C4" s="123">
        <v>149.37234000000001</v>
      </c>
      <c r="D4" s="124">
        <v>727.49947472222232</v>
      </c>
      <c r="E4" s="119">
        <v>727.49947472222232</v>
      </c>
      <c r="F4" s="121">
        <v>2000</v>
      </c>
      <c r="G4" s="132">
        <f>+IFERROR((F4-E4)/F4,"")</f>
        <v>0.63625026263888895</v>
      </c>
      <c r="I4">
        <f>+E4*(1+75%)</f>
        <v>1273.124080763889</v>
      </c>
    </row>
    <row r="5" spans="1:9" x14ac:dyDescent="0.3">
      <c r="A5" s="118" t="s">
        <v>57</v>
      </c>
      <c r="B5" s="125">
        <v>578.12713472222231</v>
      </c>
      <c r="C5" s="126">
        <v>149.37234000000001</v>
      </c>
      <c r="D5" s="127">
        <v>727.49947472222232</v>
      </c>
      <c r="G5" s="132" t="str">
        <f t="shared" ref="G5:G68" si="0">+IFERROR((F5-E5)/F5,"")</f>
        <v/>
      </c>
    </row>
    <row r="6" spans="1:9" x14ac:dyDescent="0.3">
      <c r="A6" s="50" t="s">
        <v>80</v>
      </c>
      <c r="B6" s="125">
        <v>3577.7651333333342</v>
      </c>
      <c r="C6" s="126">
        <v>216.05734000000001</v>
      </c>
      <c r="D6" s="127">
        <v>3793.8224733333336</v>
      </c>
      <c r="E6" s="119">
        <v>3793.8224733333336</v>
      </c>
      <c r="F6" s="121">
        <v>9450</v>
      </c>
      <c r="G6" s="132">
        <f t="shared" si="0"/>
        <v>0.59853730440917108</v>
      </c>
    </row>
    <row r="7" spans="1:9" x14ac:dyDescent="0.3">
      <c r="A7" s="118" t="s">
        <v>57</v>
      </c>
      <c r="B7" s="125">
        <v>1734.3814041666669</v>
      </c>
      <c r="C7" s="126"/>
      <c r="D7" s="127"/>
      <c r="G7" s="132" t="str">
        <f t="shared" si="0"/>
        <v/>
      </c>
    </row>
    <row r="8" spans="1:9" x14ac:dyDescent="0.3">
      <c r="A8" s="118" t="s">
        <v>59</v>
      </c>
      <c r="B8" s="125">
        <v>764.07659305555558</v>
      </c>
      <c r="C8" s="126"/>
      <c r="D8" s="127"/>
      <c r="G8" s="132" t="str">
        <f t="shared" si="0"/>
        <v/>
      </c>
    </row>
    <row r="9" spans="1:9" x14ac:dyDescent="0.3">
      <c r="A9" s="118" t="s">
        <v>60</v>
      </c>
      <c r="B9" s="125">
        <v>1079.3071361111113</v>
      </c>
      <c r="C9" s="126">
        <v>216.05734000000001</v>
      </c>
      <c r="D9" s="127">
        <v>3793.8224733333336</v>
      </c>
      <c r="G9" s="132" t="str">
        <f t="shared" si="0"/>
        <v/>
      </c>
    </row>
    <row r="10" spans="1:9" x14ac:dyDescent="0.3">
      <c r="A10" s="50" t="s">
        <v>83</v>
      </c>
      <c r="B10" s="125">
        <v>2007.4664473271569</v>
      </c>
      <c r="C10" s="126">
        <v>216.05734000000001</v>
      </c>
      <c r="D10" s="127">
        <v>2223.5237873271567</v>
      </c>
      <c r="E10" s="119">
        <v>2223.5237873271567</v>
      </c>
      <c r="F10" s="121">
        <v>8500</v>
      </c>
      <c r="G10" s="132">
        <f t="shared" si="0"/>
        <v>0.73840896619680518</v>
      </c>
    </row>
    <row r="11" spans="1:9" x14ac:dyDescent="0.3">
      <c r="A11" s="118" t="s">
        <v>66</v>
      </c>
      <c r="B11" s="125">
        <v>742.49779444444448</v>
      </c>
      <c r="C11" s="126">
        <v>216.05734000000001</v>
      </c>
      <c r="D11" s="127">
        <v>2223.5237873271567</v>
      </c>
      <c r="G11" s="132" t="str">
        <f t="shared" si="0"/>
        <v/>
      </c>
    </row>
    <row r="12" spans="1:9" x14ac:dyDescent="0.3">
      <c r="A12" s="118" t="s">
        <v>69</v>
      </c>
      <c r="B12" s="125">
        <v>147.28882962962962</v>
      </c>
      <c r="C12" s="126"/>
      <c r="D12" s="127"/>
      <c r="G12" s="132" t="str">
        <f t="shared" si="0"/>
        <v/>
      </c>
    </row>
    <row r="13" spans="1:9" x14ac:dyDescent="0.3">
      <c r="A13" s="118" t="s">
        <v>68</v>
      </c>
      <c r="B13" s="125">
        <v>583.53297709923663</v>
      </c>
      <c r="C13" s="126"/>
      <c r="D13" s="127"/>
      <c r="G13" s="132" t="str">
        <f t="shared" si="0"/>
        <v/>
      </c>
    </row>
    <row r="14" spans="1:9" x14ac:dyDescent="0.3">
      <c r="A14" s="118" t="s">
        <v>70</v>
      </c>
      <c r="B14" s="125">
        <v>534.14684615384613</v>
      </c>
      <c r="C14" s="126"/>
      <c r="D14" s="127"/>
      <c r="G14" s="132" t="str">
        <f t="shared" si="0"/>
        <v/>
      </c>
    </row>
    <row r="15" spans="1:9" x14ac:dyDescent="0.3">
      <c r="A15" s="50" t="s">
        <v>81</v>
      </c>
      <c r="B15" s="125">
        <v>1042.1189999464996</v>
      </c>
      <c r="C15" s="126">
        <v>149.37234000000001</v>
      </c>
      <c r="D15" s="127">
        <v>1191.4913399464995</v>
      </c>
      <c r="E15" s="119">
        <v>1191.4913399464995</v>
      </c>
      <c r="F15" s="121">
        <v>4500</v>
      </c>
      <c r="G15" s="132">
        <f t="shared" si="0"/>
        <v>0.73522414667855562</v>
      </c>
    </row>
    <row r="16" spans="1:9" x14ac:dyDescent="0.3">
      <c r="A16" s="118" t="s">
        <v>66</v>
      </c>
      <c r="B16" s="125">
        <v>296.99911777777777</v>
      </c>
      <c r="C16" s="126">
        <v>149.37234000000001</v>
      </c>
      <c r="D16" s="127">
        <v>1191.4913399464995</v>
      </c>
      <c r="G16" s="132" t="str">
        <f t="shared" si="0"/>
        <v/>
      </c>
    </row>
    <row r="17" spans="1:7" x14ac:dyDescent="0.3">
      <c r="A17" s="118" t="s">
        <v>68</v>
      </c>
      <c r="B17" s="125">
        <v>389.02198473282442</v>
      </c>
      <c r="C17" s="126"/>
      <c r="D17" s="127"/>
      <c r="G17" s="132" t="str">
        <f t="shared" si="0"/>
        <v/>
      </c>
    </row>
    <row r="18" spans="1:7" x14ac:dyDescent="0.3">
      <c r="A18" s="118" t="s">
        <v>70</v>
      </c>
      <c r="B18" s="125">
        <v>356.09789743589744</v>
      </c>
      <c r="C18" s="126"/>
      <c r="D18" s="127"/>
      <c r="G18" s="132" t="str">
        <f t="shared" si="0"/>
        <v/>
      </c>
    </row>
    <row r="19" spans="1:7" x14ac:dyDescent="0.3">
      <c r="A19" s="50" t="s">
        <v>133</v>
      </c>
      <c r="B19" s="125">
        <v>2691.3852684940857</v>
      </c>
      <c r="C19" s="126">
        <v>216.05734000000001</v>
      </c>
      <c r="D19" s="127">
        <v>2907.442608494086</v>
      </c>
      <c r="E19" s="119">
        <v>2907.442608494086</v>
      </c>
      <c r="F19" s="121">
        <v>8500</v>
      </c>
      <c r="G19" s="132">
        <f t="shared" si="0"/>
        <v>0.65794792841246041</v>
      </c>
    </row>
    <row r="20" spans="1:7" x14ac:dyDescent="0.3">
      <c r="A20" s="118" t="s">
        <v>57</v>
      </c>
      <c r="B20" s="125">
        <v>578.12713472222231</v>
      </c>
      <c r="C20" s="126"/>
      <c r="D20" s="127">
        <v>578.12713472222231</v>
      </c>
      <c r="G20" s="132" t="str">
        <f t="shared" si="0"/>
        <v/>
      </c>
    </row>
    <row r="21" spans="1:7" x14ac:dyDescent="0.3">
      <c r="A21" s="118" t="s">
        <v>66</v>
      </c>
      <c r="B21" s="125">
        <v>296.99911777777777</v>
      </c>
      <c r="C21" s="126"/>
      <c r="D21" s="127">
        <v>296.99911777777777</v>
      </c>
      <c r="G21" s="132" t="str">
        <f t="shared" si="0"/>
        <v/>
      </c>
    </row>
    <row r="22" spans="1:7" x14ac:dyDescent="0.3">
      <c r="A22" s="118" t="s">
        <v>68</v>
      </c>
      <c r="B22" s="125">
        <v>389.02198473282442</v>
      </c>
      <c r="C22" s="126"/>
      <c r="D22" s="127">
        <v>389.02198473282442</v>
      </c>
      <c r="G22" s="132" t="str">
        <f t="shared" si="0"/>
        <v/>
      </c>
    </row>
    <row r="23" spans="1:7" x14ac:dyDescent="0.3">
      <c r="A23" s="118" t="s">
        <v>63</v>
      </c>
      <c r="B23" s="125">
        <v>1427.2370312612613</v>
      </c>
      <c r="C23" s="126">
        <v>216.05734000000001</v>
      </c>
      <c r="D23" s="127">
        <v>1643.2943712612614</v>
      </c>
      <c r="G23" s="132" t="str">
        <f t="shared" si="0"/>
        <v/>
      </c>
    </row>
    <row r="24" spans="1:7" x14ac:dyDescent="0.3">
      <c r="A24" s="50" t="s">
        <v>78</v>
      </c>
      <c r="B24" s="125">
        <v>5768.7595804753055</v>
      </c>
      <c r="C24" s="126">
        <v>432.11468000000002</v>
      </c>
      <c r="D24" s="127">
        <v>6200.8742604753052</v>
      </c>
      <c r="E24" s="119">
        <v>6200.8742604753052</v>
      </c>
      <c r="F24" s="121">
        <v>18000</v>
      </c>
      <c r="G24" s="132">
        <f t="shared" si="0"/>
        <v>0.65550698552914966</v>
      </c>
    </row>
    <row r="25" spans="1:7" x14ac:dyDescent="0.3">
      <c r="A25" s="118" t="s">
        <v>57</v>
      </c>
      <c r="B25" s="125">
        <v>1156.2542694444446</v>
      </c>
      <c r="C25" s="126"/>
      <c r="D25" s="127"/>
      <c r="G25" s="132" t="str">
        <f t="shared" si="0"/>
        <v/>
      </c>
    </row>
    <row r="26" spans="1:7" x14ac:dyDescent="0.3">
      <c r="A26" s="118" t="s">
        <v>59</v>
      </c>
      <c r="B26" s="125">
        <v>1528.1531861111112</v>
      </c>
      <c r="C26" s="126"/>
      <c r="D26" s="127"/>
      <c r="G26" s="132" t="str">
        <f t="shared" si="0"/>
        <v/>
      </c>
    </row>
    <row r="27" spans="1:7" x14ac:dyDescent="0.3">
      <c r="A27" s="118" t="s">
        <v>60</v>
      </c>
      <c r="B27" s="125">
        <v>1079.3071361111113</v>
      </c>
      <c r="C27" s="126"/>
      <c r="D27" s="127"/>
      <c r="G27" s="132" t="str">
        <f t="shared" si="0"/>
        <v/>
      </c>
    </row>
    <row r="28" spans="1:7" x14ac:dyDescent="0.3">
      <c r="A28" s="118" t="s">
        <v>66</v>
      </c>
      <c r="B28" s="125">
        <v>445.49867666666665</v>
      </c>
      <c r="C28" s="126"/>
      <c r="D28" s="127"/>
      <c r="G28" s="132" t="str">
        <f t="shared" si="0"/>
        <v/>
      </c>
    </row>
    <row r="29" spans="1:7" x14ac:dyDescent="0.3">
      <c r="A29" s="118" t="s">
        <v>69</v>
      </c>
      <c r="B29" s="125">
        <v>441.86648888888885</v>
      </c>
      <c r="C29" s="126">
        <v>432.11468000000002</v>
      </c>
      <c r="D29" s="127">
        <v>6200.8742604753052</v>
      </c>
      <c r="E29" s="119">
        <v>6200.8742604753052</v>
      </c>
      <c r="G29" s="132" t="str">
        <f t="shared" si="0"/>
        <v/>
      </c>
    </row>
    <row r="30" spans="1:7" x14ac:dyDescent="0.3">
      <c r="A30" s="118" t="s">
        <v>68</v>
      </c>
      <c r="B30" s="125">
        <v>583.53297709923663</v>
      </c>
      <c r="C30" s="126"/>
      <c r="D30" s="127"/>
      <c r="G30" s="132" t="str">
        <f t="shared" si="0"/>
        <v/>
      </c>
    </row>
    <row r="31" spans="1:7" x14ac:dyDescent="0.3">
      <c r="A31" s="118" t="s">
        <v>70</v>
      </c>
      <c r="B31" s="125">
        <v>534.14684615384613</v>
      </c>
      <c r="C31" s="126"/>
      <c r="D31" s="127"/>
      <c r="G31" s="132" t="str">
        <f t="shared" si="0"/>
        <v/>
      </c>
    </row>
    <row r="32" spans="1:7" x14ac:dyDescent="0.3">
      <c r="A32" s="50" t="s">
        <v>77</v>
      </c>
      <c r="B32" s="125">
        <v>3726.5264555020553</v>
      </c>
      <c r="C32" s="126">
        <v>216.05734000000001</v>
      </c>
      <c r="D32" s="127">
        <v>3942.5837955020552</v>
      </c>
      <c r="E32" s="119">
        <v>3942.5837955020552</v>
      </c>
      <c r="F32" s="121">
        <v>11000</v>
      </c>
      <c r="G32" s="132">
        <f t="shared" si="0"/>
        <v>0.64158329131799496</v>
      </c>
    </row>
    <row r="33" spans="1:7" x14ac:dyDescent="0.3">
      <c r="A33" s="118" t="s">
        <v>57</v>
      </c>
      <c r="B33" s="125">
        <v>1156.2542694444446</v>
      </c>
      <c r="C33" s="126"/>
      <c r="D33" s="127"/>
      <c r="G33" s="132" t="str">
        <f t="shared" si="0"/>
        <v/>
      </c>
    </row>
    <row r="34" spans="1:7" x14ac:dyDescent="0.3">
      <c r="A34" s="118" t="s">
        <v>59</v>
      </c>
      <c r="B34" s="125">
        <v>1528.1531861111112</v>
      </c>
      <c r="C34" s="126"/>
      <c r="D34" s="127"/>
      <c r="G34" s="132" t="str">
        <f t="shared" si="0"/>
        <v/>
      </c>
    </row>
    <row r="35" spans="1:7" x14ac:dyDescent="0.3">
      <c r="A35" s="118" t="s">
        <v>66</v>
      </c>
      <c r="B35" s="125">
        <v>296.99911777777777</v>
      </c>
      <c r="C35" s="126">
        <v>216.05734000000001</v>
      </c>
      <c r="D35" s="127">
        <v>3942.5837955020552</v>
      </c>
      <c r="E35" s="119">
        <v>3942.5837955020552</v>
      </c>
      <c r="G35" s="132" t="str">
        <f t="shared" si="0"/>
        <v/>
      </c>
    </row>
    <row r="36" spans="1:7" x14ac:dyDescent="0.3">
      <c r="A36" s="118" t="s">
        <v>68</v>
      </c>
      <c r="B36" s="125">
        <v>389.02198473282442</v>
      </c>
      <c r="C36" s="126"/>
      <c r="D36" s="127"/>
      <c r="G36" s="132" t="str">
        <f t="shared" si="0"/>
        <v/>
      </c>
    </row>
    <row r="37" spans="1:7" x14ac:dyDescent="0.3">
      <c r="A37" s="118" t="s">
        <v>70</v>
      </c>
      <c r="B37" s="125">
        <v>356.09789743589744</v>
      </c>
      <c r="C37" s="126"/>
      <c r="D37" s="127"/>
      <c r="G37" s="132" t="str">
        <f t="shared" si="0"/>
        <v/>
      </c>
    </row>
    <row r="38" spans="1:7" x14ac:dyDescent="0.3">
      <c r="A38" s="50" t="s">
        <v>137</v>
      </c>
      <c r="B38" s="125">
        <v>2580.3356090496413</v>
      </c>
      <c r="C38" s="126">
        <v>216.05734000000001</v>
      </c>
      <c r="D38" s="127">
        <v>2796.3929490496412</v>
      </c>
      <c r="E38" s="127">
        <v>2796.3929490496412</v>
      </c>
      <c r="F38" s="121">
        <v>7000</v>
      </c>
      <c r="G38" s="132">
        <f t="shared" si="0"/>
        <v>0.6005152929929084</v>
      </c>
    </row>
    <row r="39" spans="1:7" x14ac:dyDescent="0.3">
      <c r="A39" s="118" t="s">
        <v>59</v>
      </c>
      <c r="B39" s="125">
        <v>764.07659305555558</v>
      </c>
      <c r="C39" s="126"/>
      <c r="D39" s="127"/>
      <c r="G39" s="132" t="str">
        <f t="shared" si="0"/>
        <v/>
      </c>
    </row>
    <row r="40" spans="1:7" x14ac:dyDescent="0.3">
      <c r="A40" s="118" t="s">
        <v>68</v>
      </c>
      <c r="B40" s="125">
        <v>389.02198473282442</v>
      </c>
      <c r="C40" s="126"/>
      <c r="D40" s="127"/>
      <c r="G40" s="132" t="str">
        <f t="shared" si="0"/>
        <v/>
      </c>
    </row>
    <row r="41" spans="1:7" x14ac:dyDescent="0.3">
      <c r="A41" s="118" t="s">
        <v>63</v>
      </c>
      <c r="B41" s="125">
        <v>1427.2370312612613</v>
      </c>
      <c r="C41" s="126">
        <v>216.05734000000001</v>
      </c>
      <c r="D41" s="127">
        <v>2796.3929490496412</v>
      </c>
      <c r="G41" s="132" t="str">
        <f t="shared" si="0"/>
        <v/>
      </c>
    </row>
    <row r="42" spans="1:7" x14ac:dyDescent="0.3">
      <c r="A42" s="50" t="s">
        <v>136</v>
      </c>
      <c r="B42" s="125">
        <v>5350.1376947764738</v>
      </c>
      <c r="C42" s="126">
        <v>432.11468000000002</v>
      </c>
      <c r="D42" s="127">
        <v>5782.2523747764744</v>
      </c>
      <c r="E42" s="119">
        <v>5782.2523747764744</v>
      </c>
      <c r="F42" s="121">
        <v>17000</v>
      </c>
      <c r="G42" s="132">
        <f t="shared" si="0"/>
        <v>0.65986750736608968</v>
      </c>
    </row>
    <row r="43" spans="1:7" x14ac:dyDescent="0.3">
      <c r="A43" s="118" t="s">
        <v>57</v>
      </c>
      <c r="B43" s="125">
        <v>578.12713472222231</v>
      </c>
      <c r="C43" s="126"/>
      <c r="D43" s="127">
        <v>578.12713472222231</v>
      </c>
      <c r="G43" s="132" t="str">
        <f t="shared" si="0"/>
        <v/>
      </c>
    </row>
    <row r="44" spans="1:7" x14ac:dyDescent="0.3">
      <c r="A44" s="118" t="s">
        <v>59</v>
      </c>
      <c r="B44" s="125">
        <v>764.07659305555558</v>
      </c>
      <c r="C44" s="126"/>
      <c r="D44" s="127">
        <v>764.07659305555558</v>
      </c>
      <c r="G44" s="132" t="str">
        <f t="shared" si="0"/>
        <v/>
      </c>
    </row>
    <row r="45" spans="1:7" x14ac:dyDescent="0.3">
      <c r="A45" s="118" t="s">
        <v>66</v>
      </c>
      <c r="B45" s="125">
        <v>296.99911777777777</v>
      </c>
      <c r="C45" s="126"/>
      <c r="D45" s="127">
        <v>296.99911777777777</v>
      </c>
      <c r="G45" s="132" t="str">
        <f t="shared" si="0"/>
        <v/>
      </c>
    </row>
    <row r="46" spans="1:7" x14ac:dyDescent="0.3">
      <c r="A46" s="118" t="s">
        <v>71</v>
      </c>
      <c r="B46" s="125">
        <v>561.37584561403503</v>
      </c>
      <c r="C46" s="126"/>
      <c r="D46" s="127">
        <v>561.37584561403503</v>
      </c>
      <c r="G46" s="132" t="str">
        <f t="shared" si="0"/>
        <v/>
      </c>
    </row>
    <row r="47" spans="1:7" x14ac:dyDescent="0.3">
      <c r="A47" s="118" t="s">
        <v>68</v>
      </c>
      <c r="B47" s="125">
        <v>194.51099236641221</v>
      </c>
      <c r="C47" s="126"/>
      <c r="D47" s="127">
        <v>194.51099236641221</v>
      </c>
      <c r="G47" s="132" t="str">
        <f t="shared" si="0"/>
        <v/>
      </c>
    </row>
    <row r="48" spans="1:7" x14ac:dyDescent="0.3">
      <c r="A48" s="118" t="s">
        <v>70</v>
      </c>
      <c r="B48" s="125">
        <v>178.04894871794872</v>
      </c>
      <c r="C48" s="126"/>
      <c r="D48" s="127">
        <v>178.04894871794872</v>
      </c>
      <c r="G48" s="132" t="str">
        <f t="shared" si="0"/>
        <v/>
      </c>
    </row>
    <row r="49" spans="1:7" x14ac:dyDescent="0.3">
      <c r="A49" s="118" t="s">
        <v>64</v>
      </c>
      <c r="B49" s="125">
        <v>1349.7620312612612</v>
      </c>
      <c r="C49" s="126">
        <v>432.11468000000002</v>
      </c>
      <c r="D49" s="127">
        <v>1781.8767112612613</v>
      </c>
      <c r="G49" s="132" t="str">
        <f t="shared" si="0"/>
        <v/>
      </c>
    </row>
    <row r="50" spans="1:7" x14ac:dyDescent="0.3">
      <c r="A50" s="118" t="s">
        <v>63</v>
      </c>
      <c r="B50" s="125">
        <v>1427.2370312612613</v>
      </c>
      <c r="C50" s="126"/>
      <c r="D50" s="127">
        <v>1427.2370312612613</v>
      </c>
      <c r="G50" s="132" t="str">
        <f t="shared" si="0"/>
        <v/>
      </c>
    </row>
    <row r="51" spans="1:7" x14ac:dyDescent="0.3">
      <c r="A51" s="50" t="s">
        <v>134</v>
      </c>
      <c r="B51" s="125">
        <v>3030.731876821796</v>
      </c>
      <c r="C51" s="126">
        <v>216.05734000000001</v>
      </c>
      <c r="D51" s="127">
        <v>3246.7892168217959</v>
      </c>
      <c r="E51" s="119">
        <v>3246.7892168217959</v>
      </c>
      <c r="F51" s="121">
        <v>11500</v>
      </c>
      <c r="G51" s="132">
        <f t="shared" si="0"/>
        <v>0.71767050288506129</v>
      </c>
    </row>
    <row r="52" spans="1:7" x14ac:dyDescent="0.3">
      <c r="A52" s="118" t="s">
        <v>66</v>
      </c>
      <c r="B52" s="125">
        <v>296.99911777777777</v>
      </c>
      <c r="C52" s="126"/>
      <c r="D52" s="127"/>
      <c r="G52" s="132" t="str">
        <f t="shared" si="0"/>
        <v/>
      </c>
    </row>
    <row r="53" spans="1:7" x14ac:dyDescent="0.3">
      <c r="A53" s="118" t="s">
        <v>71</v>
      </c>
      <c r="B53" s="125">
        <v>561.37584561403503</v>
      </c>
      <c r="C53" s="126"/>
      <c r="D53" s="127"/>
      <c r="G53" s="132" t="str">
        <f t="shared" si="0"/>
        <v/>
      </c>
    </row>
    <row r="54" spans="1:7" x14ac:dyDescent="0.3">
      <c r="A54" s="118" t="s">
        <v>68</v>
      </c>
      <c r="B54" s="125">
        <v>389.02198473282442</v>
      </c>
      <c r="C54" s="126"/>
      <c r="D54" s="127"/>
      <c r="G54" s="132" t="str">
        <f t="shared" si="0"/>
        <v/>
      </c>
    </row>
    <row r="55" spans="1:7" x14ac:dyDescent="0.3">
      <c r="A55" s="118" t="s">
        <v>70</v>
      </c>
      <c r="B55" s="125">
        <v>356.09789743589744</v>
      </c>
      <c r="C55" s="126"/>
      <c r="D55" s="127"/>
      <c r="G55" s="132" t="str">
        <f t="shared" si="0"/>
        <v/>
      </c>
    </row>
    <row r="56" spans="1:7" x14ac:dyDescent="0.3">
      <c r="A56" s="118" t="s">
        <v>63</v>
      </c>
      <c r="B56" s="125">
        <v>1427.2370312612613</v>
      </c>
      <c r="C56" s="126">
        <v>216.05734000000001</v>
      </c>
      <c r="D56" s="127">
        <v>3246.7892168217959</v>
      </c>
      <c r="G56" s="132" t="str">
        <f t="shared" si="0"/>
        <v/>
      </c>
    </row>
    <row r="57" spans="1:7" x14ac:dyDescent="0.3">
      <c r="A57" s="50" t="s">
        <v>85</v>
      </c>
      <c r="B57" s="125">
        <v>3338.3749081365577</v>
      </c>
      <c r="C57" s="126">
        <v>216.05734000000001</v>
      </c>
      <c r="D57" s="127">
        <v>3554.4322481365575</v>
      </c>
      <c r="E57" s="119">
        <v>3554.4322481365575</v>
      </c>
      <c r="F57" s="121">
        <v>11500</v>
      </c>
      <c r="G57" s="132">
        <f t="shared" si="0"/>
        <v>0.69091893494464718</v>
      </c>
    </row>
    <row r="58" spans="1:7" x14ac:dyDescent="0.3">
      <c r="A58" s="118" t="s">
        <v>71</v>
      </c>
      <c r="B58" s="125">
        <v>561.37584561403503</v>
      </c>
      <c r="C58" s="126"/>
      <c r="D58" s="127"/>
      <c r="G58" s="132" t="str">
        <f t="shared" si="0"/>
        <v/>
      </c>
    </row>
    <row r="59" spans="1:7" x14ac:dyDescent="0.3">
      <c r="A59" s="118" t="s">
        <v>64</v>
      </c>
      <c r="B59" s="125">
        <v>1349.7620312612612</v>
      </c>
      <c r="C59" s="126">
        <v>216.05734000000001</v>
      </c>
      <c r="D59" s="127">
        <v>3554.4322481365575</v>
      </c>
      <c r="G59" s="132" t="str">
        <f t="shared" si="0"/>
        <v/>
      </c>
    </row>
    <row r="60" spans="1:7" x14ac:dyDescent="0.3">
      <c r="A60" s="118" t="s">
        <v>63</v>
      </c>
      <c r="B60" s="125">
        <v>1427.2370312612613</v>
      </c>
      <c r="C60" s="126"/>
      <c r="D60" s="127"/>
      <c r="G60" s="132" t="str">
        <f t="shared" si="0"/>
        <v/>
      </c>
    </row>
    <row r="61" spans="1:7" x14ac:dyDescent="0.3">
      <c r="A61" s="50" t="s">
        <v>135</v>
      </c>
      <c r="B61" s="125">
        <v>5690.067019251389</v>
      </c>
      <c r="C61" s="126">
        <v>432.11468000000002</v>
      </c>
      <c r="D61" s="127">
        <v>6122.1816992513886</v>
      </c>
      <c r="E61" s="119">
        <v>6122.1816992513886</v>
      </c>
      <c r="F61" s="121">
        <v>19000</v>
      </c>
      <c r="G61" s="132">
        <f t="shared" si="0"/>
        <v>0.6777799105657164</v>
      </c>
    </row>
    <row r="62" spans="1:7" x14ac:dyDescent="0.3">
      <c r="A62" s="118" t="s">
        <v>66</v>
      </c>
      <c r="B62" s="125">
        <v>742.49779444444448</v>
      </c>
      <c r="C62" s="126"/>
      <c r="D62" s="127"/>
      <c r="G62" s="132" t="str">
        <f t="shared" si="0"/>
        <v/>
      </c>
    </row>
    <row r="63" spans="1:7" x14ac:dyDescent="0.3">
      <c r="A63" s="118" t="s">
        <v>127</v>
      </c>
      <c r="B63" s="125">
        <v>905.60150940170945</v>
      </c>
      <c r="C63" s="126"/>
      <c r="D63" s="127"/>
      <c r="G63" s="132" t="str">
        <f t="shared" si="0"/>
        <v/>
      </c>
    </row>
    <row r="64" spans="1:7" x14ac:dyDescent="0.3">
      <c r="A64" s="118" t="s">
        <v>69</v>
      </c>
      <c r="B64" s="125">
        <v>147.28882962962962</v>
      </c>
      <c r="C64" s="126"/>
      <c r="D64" s="127"/>
      <c r="G64" s="132" t="str">
        <f t="shared" si="0"/>
        <v/>
      </c>
    </row>
    <row r="65" spans="1:7" x14ac:dyDescent="0.3">
      <c r="A65" s="118" t="s">
        <v>68</v>
      </c>
      <c r="B65" s="125">
        <v>583.53297709923663</v>
      </c>
      <c r="C65" s="126"/>
      <c r="D65" s="127"/>
      <c r="G65" s="132" t="str">
        <f t="shared" si="0"/>
        <v/>
      </c>
    </row>
    <row r="66" spans="1:7" x14ac:dyDescent="0.3">
      <c r="A66" s="118" t="s">
        <v>70</v>
      </c>
      <c r="B66" s="125">
        <v>534.14684615384613</v>
      </c>
      <c r="C66" s="126"/>
      <c r="D66" s="127"/>
      <c r="G66" s="132" t="str">
        <f t="shared" si="0"/>
        <v/>
      </c>
    </row>
    <row r="67" spans="1:7" x14ac:dyDescent="0.3">
      <c r="A67" s="118" t="s">
        <v>64</v>
      </c>
      <c r="B67" s="125">
        <v>1349.7620312612612</v>
      </c>
      <c r="C67" s="126"/>
      <c r="D67" s="127"/>
      <c r="G67" s="132" t="str">
        <f t="shared" si="0"/>
        <v/>
      </c>
    </row>
    <row r="68" spans="1:7" x14ac:dyDescent="0.3">
      <c r="A68" s="118" t="s">
        <v>63</v>
      </c>
      <c r="B68" s="125">
        <v>1427.2370312612613</v>
      </c>
      <c r="C68" s="126">
        <v>432.11468000000002</v>
      </c>
      <c r="D68" s="127">
        <v>6122.1816992513886</v>
      </c>
      <c r="G68" s="132" t="str">
        <f t="shared" si="0"/>
        <v/>
      </c>
    </row>
    <row r="69" spans="1:7" x14ac:dyDescent="0.3">
      <c r="A69" s="50" t="s">
        <v>87</v>
      </c>
      <c r="B69" s="125">
        <v>194.51099236641221</v>
      </c>
      <c r="C69" s="126">
        <v>149.37234000000001</v>
      </c>
      <c r="D69" s="127">
        <v>343.88333236641222</v>
      </c>
      <c r="E69" s="119">
        <v>343.88333236641222</v>
      </c>
      <c r="F69" s="121">
        <v>800</v>
      </c>
      <c r="G69" s="132">
        <f t="shared" ref="G69:G78" si="1">+IFERROR((F69-E69)/F69,"")</f>
        <v>0.57014583454198475</v>
      </c>
    </row>
    <row r="70" spans="1:7" x14ac:dyDescent="0.3">
      <c r="A70" s="118" t="s">
        <v>68</v>
      </c>
      <c r="B70" s="125">
        <v>194.51099236641221</v>
      </c>
      <c r="C70" s="126">
        <v>149.37234000000001</v>
      </c>
      <c r="D70" s="127">
        <v>343.88333236641222</v>
      </c>
      <c r="G70" s="132" t="str">
        <f t="shared" si="1"/>
        <v/>
      </c>
    </row>
    <row r="71" spans="1:7" x14ac:dyDescent="0.3">
      <c r="A71" s="50" t="s">
        <v>86</v>
      </c>
      <c r="B71" s="125">
        <v>5463.2936065989452</v>
      </c>
      <c r="C71" s="126">
        <v>896.23404000000005</v>
      </c>
      <c r="D71" s="127">
        <v>6359.5276465989455</v>
      </c>
      <c r="G71" s="132" t="str">
        <f t="shared" si="1"/>
        <v/>
      </c>
    </row>
    <row r="72" spans="1:7" x14ac:dyDescent="0.3">
      <c r="A72" s="118" t="s">
        <v>127</v>
      </c>
      <c r="B72" s="125">
        <v>905.60150940170945</v>
      </c>
      <c r="C72" s="126">
        <v>149.37234000000001</v>
      </c>
      <c r="D72" s="127">
        <v>1054.9738494017095</v>
      </c>
      <c r="E72" s="119">
        <v>1054.9738494017095</v>
      </c>
      <c r="F72" s="121">
        <v>4000</v>
      </c>
      <c r="G72" s="132">
        <f t="shared" si="1"/>
        <v>0.73625653764957266</v>
      </c>
    </row>
    <row r="73" spans="1:7" x14ac:dyDescent="0.3">
      <c r="A73" s="118" t="s">
        <v>71</v>
      </c>
      <c r="B73" s="125">
        <v>561.37584561403503</v>
      </c>
      <c r="C73" s="126">
        <v>149.37234000000001</v>
      </c>
      <c r="D73" s="127">
        <v>710.74818561403504</v>
      </c>
      <c r="E73" s="119">
        <v>710.74818561403504</v>
      </c>
      <c r="F73" s="121">
        <v>3900</v>
      </c>
      <c r="G73" s="132">
        <f t="shared" si="1"/>
        <v>0.81775687548358078</v>
      </c>
    </row>
    <row r="74" spans="1:7" x14ac:dyDescent="0.3">
      <c r="A74" s="118" t="s">
        <v>61</v>
      </c>
      <c r="B74" s="125">
        <v>630.08327472527458</v>
      </c>
      <c r="C74" s="126">
        <v>149.37234000000001</v>
      </c>
      <c r="D74" s="127">
        <v>779.45561472527459</v>
      </c>
      <c r="E74" s="119">
        <v>779.45561472527459</v>
      </c>
      <c r="F74" s="121">
        <v>4000</v>
      </c>
      <c r="G74" s="132">
        <f t="shared" si="1"/>
        <v>0.80513609631868133</v>
      </c>
    </row>
    <row r="75" spans="1:7" x14ac:dyDescent="0.3">
      <c r="A75" s="118" t="s">
        <v>64</v>
      </c>
      <c r="B75" s="125">
        <v>1349.7620312612612</v>
      </c>
      <c r="C75" s="126">
        <v>149.37234000000001</v>
      </c>
      <c r="D75" s="127">
        <v>1499.1343712612611</v>
      </c>
      <c r="E75" s="119">
        <v>1499.1343712612611</v>
      </c>
      <c r="F75" s="121">
        <v>4000</v>
      </c>
      <c r="G75" s="132">
        <f t="shared" si="1"/>
        <v>0.62521640718468474</v>
      </c>
    </row>
    <row r="76" spans="1:7" x14ac:dyDescent="0.3">
      <c r="A76" s="118" t="s">
        <v>63</v>
      </c>
      <c r="B76" s="125">
        <v>1427.2370312612613</v>
      </c>
      <c r="C76" s="126">
        <v>149.37234000000001</v>
      </c>
      <c r="D76" s="127">
        <v>1576.6093712612615</v>
      </c>
      <c r="E76" s="119">
        <v>1576.6093712612615</v>
      </c>
      <c r="F76" s="121">
        <v>4300</v>
      </c>
      <c r="G76" s="132">
        <f t="shared" si="1"/>
        <v>0.63334665784621824</v>
      </c>
    </row>
    <row r="77" spans="1:7" x14ac:dyDescent="0.3">
      <c r="A77" s="118" t="s">
        <v>126</v>
      </c>
      <c r="B77" s="125">
        <v>589.23391433540348</v>
      </c>
      <c r="C77" s="126">
        <v>149.37234000000001</v>
      </c>
      <c r="D77" s="127">
        <v>738.60625433540349</v>
      </c>
      <c r="E77" s="119">
        <v>738.60625433540349</v>
      </c>
      <c r="F77" s="121">
        <v>4300</v>
      </c>
      <c r="G77" s="132">
        <f t="shared" si="1"/>
        <v>0.8282311036429294</v>
      </c>
    </row>
    <row r="78" spans="1:7" x14ac:dyDescent="0.3">
      <c r="A78" s="52" t="s">
        <v>124</v>
      </c>
      <c r="B78" s="128">
        <v>45039.600726801895</v>
      </c>
      <c r="C78" s="129">
        <v>4153.0964799999992</v>
      </c>
      <c r="D78" s="130">
        <v>49192.69720680188</v>
      </c>
      <c r="G78" s="132" t="str">
        <f t="shared" si="1"/>
        <v/>
      </c>
    </row>
    <row r="105" spans="7:10" x14ac:dyDescent="0.3">
      <c r="G105" s="117" t="s">
        <v>138</v>
      </c>
      <c r="H105" s="119" t="s">
        <v>145</v>
      </c>
      <c r="I105" s="121" t="s">
        <v>144</v>
      </c>
      <c r="J105" s="131" t="s">
        <v>147</v>
      </c>
    </row>
    <row r="106" spans="7:10" x14ac:dyDescent="0.3">
      <c r="G106" s="49" t="s">
        <v>88</v>
      </c>
      <c r="H106" s="119">
        <v>727.49947472222232</v>
      </c>
      <c r="I106" s="121">
        <v>2000</v>
      </c>
      <c r="J106" s="132">
        <v>0.63625026263888895</v>
      </c>
    </row>
    <row r="107" spans="7:10" x14ac:dyDescent="0.3">
      <c r="G107" s="118" t="s">
        <v>57</v>
      </c>
      <c r="H107" s="119"/>
      <c r="J107" s="132" t="s">
        <v>148</v>
      </c>
    </row>
    <row r="108" spans="7:10" x14ac:dyDescent="0.3">
      <c r="G108" s="50" t="s">
        <v>80</v>
      </c>
      <c r="H108" s="119">
        <v>3793.8224733333336</v>
      </c>
      <c r="I108" s="121">
        <v>9450</v>
      </c>
      <c r="J108" s="132">
        <v>0.59853730440917108</v>
      </c>
    </row>
    <row r="109" spans="7:10" x14ac:dyDescent="0.3">
      <c r="G109" s="118" t="s">
        <v>57</v>
      </c>
      <c r="H109" s="119"/>
      <c r="J109" s="132" t="s">
        <v>148</v>
      </c>
    </row>
    <row r="110" spans="7:10" x14ac:dyDescent="0.3">
      <c r="G110" s="118" t="s">
        <v>59</v>
      </c>
      <c r="H110" s="119"/>
      <c r="J110" s="132" t="s">
        <v>148</v>
      </c>
    </row>
    <row r="111" spans="7:10" x14ac:dyDescent="0.3">
      <c r="G111" s="118" t="s">
        <v>60</v>
      </c>
      <c r="H111" s="119"/>
      <c r="J111" s="132" t="s">
        <v>148</v>
      </c>
    </row>
    <row r="112" spans="7:10" x14ac:dyDescent="0.3">
      <c r="G112" s="50" t="s">
        <v>83</v>
      </c>
      <c r="H112" s="119">
        <v>2223.5237873271567</v>
      </c>
      <c r="I112" s="121">
        <v>8500</v>
      </c>
      <c r="J112" s="132">
        <v>0.73840896619680518</v>
      </c>
    </row>
    <row r="113" spans="7:10" x14ac:dyDescent="0.3">
      <c r="G113" s="118" t="s">
        <v>66</v>
      </c>
      <c r="H113" s="119"/>
      <c r="J113" s="132" t="s">
        <v>148</v>
      </c>
    </row>
    <row r="114" spans="7:10" x14ac:dyDescent="0.3">
      <c r="G114" s="118" t="s">
        <v>69</v>
      </c>
      <c r="H114" s="119"/>
      <c r="J114" s="132" t="s">
        <v>148</v>
      </c>
    </row>
    <row r="115" spans="7:10" x14ac:dyDescent="0.3">
      <c r="G115" s="118" t="s">
        <v>68</v>
      </c>
      <c r="H115" s="119"/>
      <c r="J115" s="132" t="s">
        <v>148</v>
      </c>
    </row>
    <row r="116" spans="7:10" x14ac:dyDescent="0.3">
      <c r="G116" s="118" t="s">
        <v>70</v>
      </c>
      <c r="H116" s="119"/>
      <c r="J116" s="132" t="s">
        <v>148</v>
      </c>
    </row>
    <row r="117" spans="7:10" x14ac:dyDescent="0.3">
      <c r="G117" s="50" t="s">
        <v>81</v>
      </c>
      <c r="H117" s="119">
        <v>1191.4913399464995</v>
      </c>
      <c r="I117" s="121">
        <v>4500</v>
      </c>
      <c r="J117" s="132">
        <v>0.73522414667855562</v>
      </c>
    </row>
    <row r="118" spans="7:10" x14ac:dyDescent="0.3">
      <c r="G118" s="118" t="s">
        <v>66</v>
      </c>
      <c r="H118" s="119"/>
      <c r="J118" s="132" t="s">
        <v>148</v>
      </c>
    </row>
    <row r="119" spans="7:10" x14ac:dyDescent="0.3">
      <c r="G119" s="118" t="s">
        <v>68</v>
      </c>
      <c r="H119" s="119"/>
      <c r="J119" s="132" t="s">
        <v>148</v>
      </c>
    </row>
    <row r="120" spans="7:10" x14ac:dyDescent="0.3">
      <c r="G120" s="118" t="s">
        <v>70</v>
      </c>
      <c r="H120" s="119"/>
      <c r="J120" s="132" t="s">
        <v>148</v>
      </c>
    </row>
    <row r="121" spans="7:10" x14ac:dyDescent="0.3">
      <c r="G121" s="50" t="s">
        <v>133</v>
      </c>
      <c r="H121" s="119">
        <v>2907.442608494086</v>
      </c>
      <c r="I121" s="121">
        <v>8500</v>
      </c>
      <c r="J121" s="132">
        <v>0.65794792841246041</v>
      </c>
    </row>
    <row r="122" spans="7:10" x14ac:dyDescent="0.3">
      <c r="G122" s="118" t="s">
        <v>57</v>
      </c>
      <c r="H122" s="119"/>
      <c r="J122" s="132" t="s">
        <v>148</v>
      </c>
    </row>
    <row r="123" spans="7:10" x14ac:dyDescent="0.3">
      <c r="G123" s="118" t="s">
        <v>66</v>
      </c>
      <c r="H123" s="119"/>
      <c r="J123" s="132" t="s">
        <v>148</v>
      </c>
    </row>
    <row r="124" spans="7:10" x14ac:dyDescent="0.3">
      <c r="G124" s="118" t="s">
        <v>68</v>
      </c>
      <c r="H124" s="119"/>
      <c r="J124" s="132" t="s">
        <v>148</v>
      </c>
    </row>
    <row r="125" spans="7:10" x14ac:dyDescent="0.3">
      <c r="G125" s="118" t="s">
        <v>63</v>
      </c>
      <c r="H125" s="119"/>
      <c r="J125" s="132" t="s">
        <v>148</v>
      </c>
    </row>
    <row r="126" spans="7:10" x14ac:dyDescent="0.3">
      <c r="G126" s="50" t="s">
        <v>78</v>
      </c>
      <c r="H126" s="119">
        <v>6200.8742604753052</v>
      </c>
      <c r="I126" s="121">
        <v>18000</v>
      </c>
      <c r="J126" s="132">
        <v>0.65550698552914966</v>
      </c>
    </row>
    <row r="127" spans="7:10" x14ac:dyDescent="0.3">
      <c r="G127" s="118" t="s">
        <v>57</v>
      </c>
      <c r="H127" s="119"/>
      <c r="J127" s="132" t="s">
        <v>148</v>
      </c>
    </row>
    <row r="128" spans="7:10" x14ac:dyDescent="0.3">
      <c r="G128" s="118" t="s">
        <v>59</v>
      </c>
      <c r="H128" s="119"/>
      <c r="J128" s="132" t="s">
        <v>148</v>
      </c>
    </row>
    <row r="129" spans="7:10" x14ac:dyDescent="0.3">
      <c r="G129" s="118" t="s">
        <v>60</v>
      </c>
      <c r="H129" s="119"/>
      <c r="J129" s="132" t="s">
        <v>148</v>
      </c>
    </row>
    <row r="130" spans="7:10" x14ac:dyDescent="0.3">
      <c r="G130" s="118" t="s">
        <v>66</v>
      </c>
      <c r="H130" s="119"/>
      <c r="J130" s="132" t="s">
        <v>148</v>
      </c>
    </row>
    <row r="131" spans="7:10" x14ac:dyDescent="0.3">
      <c r="G131" s="118" t="s">
        <v>69</v>
      </c>
      <c r="H131" s="119">
        <v>6200.8742604753052</v>
      </c>
      <c r="J131" s="132" t="s">
        <v>148</v>
      </c>
    </row>
    <row r="132" spans="7:10" x14ac:dyDescent="0.3">
      <c r="G132" s="118" t="s">
        <v>68</v>
      </c>
      <c r="H132" s="119"/>
      <c r="J132" s="132" t="s">
        <v>148</v>
      </c>
    </row>
    <row r="133" spans="7:10" x14ac:dyDescent="0.3">
      <c r="G133" s="118" t="s">
        <v>70</v>
      </c>
      <c r="H133" s="119"/>
      <c r="J133" s="132" t="s">
        <v>148</v>
      </c>
    </row>
    <row r="134" spans="7:10" x14ac:dyDescent="0.3">
      <c r="G134" s="50" t="s">
        <v>77</v>
      </c>
      <c r="H134" s="119">
        <v>3942.5837955020552</v>
      </c>
      <c r="I134" s="121">
        <v>11000</v>
      </c>
      <c r="J134" s="132">
        <v>0.64158329131799496</v>
      </c>
    </row>
    <row r="135" spans="7:10" x14ac:dyDescent="0.3">
      <c r="G135" s="118" t="s">
        <v>57</v>
      </c>
      <c r="H135" s="119"/>
      <c r="J135" s="132" t="s">
        <v>148</v>
      </c>
    </row>
    <row r="136" spans="7:10" x14ac:dyDescent="0.3">
      <c r="G136" s="118" t="s">
        <v>59</v>
      </c>
      <c r="H136" s="119"/>
      <c r="J136" s="132" t="s">
        <v>148</v>
      </c>
    </row>
    <row r="137" spans="7:10" x14ac:dyDescent="0.3">
      <c r="G137" s="118" t="s">
        <v>66</v>
      </c>
      <c r="H137" s="119">
        <v>3942.5837955020552</v>
      </c>
      <c r="J137" s="132" t="s">
        <v>148</v>
      </c>
    </row>
    <row r="138" spans="7:10" x14ac:dyDescent="0.3">
      <c r="G138" s="118" t="s">
        <v>68</v>
      </c>
      <c r="H138" s="119"/>
      <c r="J138" s="132" t="s">
        <v>148</v>
      </c>
    </row>
    <row r="139" spans="7:10" x14ac:dyDescent="0.3">
      <c r="G139" s="118" t="s">
        <v>70</v>
      </c>
      <c r="H139" s="119"/>
      <c r="J139" s="132" t="s">
        <v>148</v>
      </c>
    </row>
    <row r="140" spans="7:10" x14ac:dyDescent="0.3">
      <c r="G140" s="50" t="s">
        <v>137</v>
      </c>
      <c r="H140" s="127">
        <v>2796.3929490496412</v>
      </c>
      <c r="I140" s="121">
        <v>7000</v>
      </c>
      <c r="J140" s="132">
        <v>0.6005152929929084</v>
      </c>
    </row>
    <row r="141" spans="7:10" x14ac:dyDescent="0.3">
      <c r="G141" s="118" t="s">
        <v>59</v>
      </c>
      <c r="H141" s="119"/>
      <c r="J141" s="132" t="s">
        <v>148</v>
      </c>
    </row>
    <row r="142" spans="7:10" x14ac:dyDescent="0.3">
      <c r="G142" s="118" t="s">
        <v>68</v>
      </c>
      <c r="H142" s="119"/>
      <c r="J142" s="132" t="s">
        <v>148</v>
      </c>
    </row>
    <row r="143" spans="7:10" x14ac:dyDescent="0.3">
      <c r="G143" s="118" t="s">
        <v>63</v>
      </c>
      <c r="H143" s="119"/>
      <c r="J143" s="132" t="s">
        <v>148</v>
      </c>
    </row>
    <row r="144" spans="7:10" x14ac:dyDescent="0.3">
      <c r="G144" s="50" t="s">
        <v>136</v>
      </c>
      <c r="H144" s="119">
        <v>5782.2523747764744</v>
      </c>
      <c r="I144" s="121">
        <v>17000</v>
      </c>
      <c r="J144" s="132">
        <v>0.65986750736608968</v>
      </c>
    </row>
    <row r="145" spans="7:10" x14ac:dyDescent="0.3">
      <c r="G145" s="118" t="s">
        <v>57</v>
      </c>
      <c r="H145" s="119"/>
      <c r="J145" s="132" t="s">
        <v>148</v>
      </c>
    </row>
    <row r="146" spans="7:10" x14ac:dyDescent="0.3">
      <c r="G146" s="118" t="s">
        <v>59</v>
      </c>
      <c r="H146" s="119"/>
      <c r="J146" s="132" t="s">
        <v>148</v>
      </c>
    </row>
    <row r="147" spans="7:10" x14ac:dyDescent="0.3">
      <c r="G147" s="118" t="s">
        <v>66</v>
      </c>
      <c r="H147" s="119"/>
      <c r="J147" s="132" t="s">
        <v>148</v>
      </c>
    </row>
    <row r="148" spans="7:10" x14ac:dyDescent="0.3">
      <c r="G148" s="118" t="s">
        <v>71</v>
      </c>
      <c r="H148" s="119"/>
      <c r="J148" s="132" t="s">
        <v>148</v>
      </c>
    </row>
    <row r="149" spans="7:10" x14ac:dyDescent="0.3">
      <c r="G149" s="118" t="s">
        <v>68</v>
      </c>
      <c r="H149" s="119"/>
      <c r="J149" s="132" t="s">
        <v>148</v>
      </c>
    </row>
    <row r="150" spans="7:10" x14ac:dyDescent="0.3">
      <c r="G150" s="118" t="s">
        <v>70</v>
      </c>
      <c r="H150" s="119"/>
      <c r="J150" s="132" t="s">
        <v>148</v>
      </c>
    </row>
    <row r="151" spans="7:10" x14ac:dyDescent="0.3">
      <c r="G151" s="118" t="s">
        <v>64</v>
      </c>
      <c r="H151" s="119"/>
      <c r="J151" s="132" t="s">
        <v>148</v>
      </c>
    </row>
    <row r="152" spans="7:10" x14ac:dyDescent="0.3">
      <c r="G152" s="118" t="s">
        <v>63</v>
      </c>
      <c r="H152" s="119"/>
      <c r="J152" s="132" t="s">
        <v>148</v>
      </c>
    </row>
    <row r="153" spans="7:10" x14ac:dyDescent="0.3">
      <c r="G153" s="50" t="s">
        <v>134</v>
      </c>
      <c r="H153" s="119">
        <v>3246.7892168217959</v>
      </c>
      <c r="I153" s="121">
        <v>11500</v>
      </c>
      <c r="J153" s="132">
        <v>0.71767050288506129</v>
      </c>
    </row>
    <row r="154" spans="7:10" x14ac:dyDescent="0.3">
      <c r="G154" s="118" t="s">
        <v>66</v>
      </c>
      <c r="H154" s="119"/>
      <c r="J154" s="132" t="s">
        <v>148</v>
      </c>
    </row>
    <row r="155" spans="7:10" x14ac:dyDescent="0.3">
      <c r="G155" s="118" t="s">
        <v>71</v>
      </c>
      <c r="H155" s="119"/>
      <c r="J155" s="132" t="s">
        <v>148</v>
      </c>
    </row>
    <row r="156" spans="7:10" x14ac:dyDescent="0.3">
      <c r="G156" s="118" t="s">
        <v>68</v>
      </c>
      <c r="H156" s="119"/>
      <c r="J156" s="132" t="s">
        <v>148</v>
      </c>
    </row>
    <row r="157" spans="7:10" x14ac:dyDescent="0.3">
      <c r="G157" s="118" t="s">
        <v>70</v>
      </c>
      <c r="H157" s="119"/>
      <c r="J157" s="132" t="s">
        <v>148</v>
      </c>
    </row>
    <row r="158" spans="7:10" x14ac:dyDescent="0.3">
      <c r="G158" s="118" t="s">
        <v>63</v>
      </c>
      <c r="H158" s="119"/>
      <c r="J158" s="132" t="s">
        <v>148</v>
      </c>
    </row>
    <row r="159" spans="7:10" x14ac:dyDescent="0.3">
      <c r="G159" s="50" t="s">
        <v>85</v>
      </c>
      <c r="H159" s="119">
        <v>3554.4322481365575</v>
      </c>
      <c r="I159" s="121">
        <v>11500</v>
      </c>
      <c r="J159" s="132">
        <v>0.69091893494464718</v>
      </c>
    </row>
    <row r="160" spans="7:10" x14ac:dyDescent="0.3">
      <c r="G160" s="118" t="s">
        <v>71</v>
      </c>
      <c r="H160" s="119"/>
      <c r="J160" s="132" t="s">
        <v>148</v>
      </c>
    </row>
    <row r="161" spans="7:10" x14ac:dyDescent="0.3">
      <c r="G161" s="118" t="s">
        <v>64</v>
      </c>
      <c r="H161" s="119"/>
      <c r="J161" s="132" t="s">
        <v>148</v>
      </c>
    </row>
    <row r="162" spans="7:10" x14ac:dyDescent="0.3">
      <c r="G162" s="118" t="s">
        <v>63</v>
      </c>
      <c r="H162" s="119"/>
      <c r="J162" s="132" t="s">
        <v>148</v>
      </c>
    </row>
    <row r="163" spans="7:10" x14ac:dyDescent="0.3">
      <c r="G163" s="50" t="s">
        <v>135</v>
      </c>
      <c r="H163" s="119">
        <v>6122.1816992513886</v>
      </c>
      <c r="I163" s="121">
        <v>19000</v>
      </c>
      <c r="J163" s="132">
        <v>0.6777799105657164</v>
      </c>
    </row>
    <row r="164" spans="7:10" x14ac:dyDescent="0.3">
      <c r="G164" s="118" t="s">
        <v>66</v>
      </c>
      <c r="H164" s="119"/>
      <c r="J164" s="132" t="s">
        <v>148</v>
      </c>
    </row>
    <row r="165" spans="7:10" x14ac:dyDescent="0.3">
      <c r="G165" s="118" t="s">
        <v>127</v>
      </c>
      <c r="H165" s="119"/>
      <c r="J165" s="132" t="s">
        <v>148</v>
      </c>
    </row>
    <row r="166" spans="7:10" x14ac:dyDescent="0.3">
      <c r="G166" s="118" t="s">
        <v>69</v>
      </c>
      <c r="H166" s="119"/>
      <c r="J166" s="132" t="s">
        <v>148</v>
      </c>
    </row>
    <row r="167" spans="7:10" x14ac:dyDescent="0.3">
      <c r="G167" s="118" t="s">
        <v>68</v>
      </c>
      <c r="H167" s="119"/>
      <c r="J167" s="132" t="s">
        <v>148</v>
      </c>
    </row>
    <row r="168" spans="7:10" x14ac:dyDescent="0.3">
      <c r="G168" s="118" t="s">
        <v>70</v>
      </c>
      <c r="H168" s="119"/>
      <c r="J168" s="132" t="s">
        <v>148</v>
      </c>
    </row>
    <row r="169" spans="7:10" x14ac:dyDescent="0.3">
      <c r="G169" s="118" t="s">
        <v>64</v>
      </c>
      <c r="H169" s="119"/>
      <c r="J169" s="132" t="s">
        <v>148</v>
      </c>
    </row>
    <row r="170" spans="7:10" x14ac:dyDescent="0.3">
      <c r="G170" s="118" t="s">
        <v>63</v>
      </c>
      <c r="H170" s="119"/>
      <c r="J170" s="132" t="s">
        <v>148</v>
      </c>
    </row>
    <row r="171" spans="7:10" x14ac:dyDescent="0.3">
      <c r="G171" s="50" t="s">
        <v>87</v>
      </c>
      <c r="H171" s="119">
        <v>343.88333236641222</v>
      </c>
      <c r="I171" s="121">
        <v>800</v>
      </c>
      <c r="J171" s="132">
        <v>0.57014583454198475</v>
      </c>
    </row>
    <row r="172" spans="7:10" x14ac:dyDescent="0.3">
      <c r="G172" s="118" t="s">
        <v>68</v>
      </c>
      <c r="H172" s="119"/>
      <c r="J172" s="132" t="s">
        <v>148</v>
      </c>
    </row>
    <row r="173" spans="7:10" x14ac:dyDescent="0.3">
      <c r="G173" s="50" t="s">
        <v>86</v>
      </c>
      <c r="H173" s="119"/>
      <c r="J173" s="132" t="s">
        <v>148</v>
      </c>
    </row>
    <row r="174" spans="7:10" x14ac:dyDescent="0.3">
      <c r="G174" s="118" t="s">
        <v>127</v>
      </c>
      <c r="H174" s="119">
        <v>1054.9738494017095</v>
      </c>
      <c r="I174" s="121">
        <v>4000</v>
      </c>
      <c r="J174" s="132">
        <v>0.73625653764957266</v>
      </c>
    </row>
    <row r="175" spans="7:10" x14ac:dyDescent="0.3">
      <c r="G175" s="118" t="s">
        <v>71</v>
      </c>
      <c r="H175" s="119">
        <v>710.74818561403504</v>
      </c>
      <c r="I175" s="121">
        <v>3900</v>
      </c>
      <c r="J175" s="132">
        <v>0.81775687548358078</v>
      </c>
    </row>
    <row r="176" spans="7:10" x14ac:dyDescent="0.3">
      <c r="G176" s="118" t="s">
        <v>61</v>
      </c>
      <c r="H176" s="119">
        <v>779.45561472527459</v>
      </c>
      <c r="I176" s="121">
        <v>4000</v>
      </c>
      <c r="J176" s="132">
        <v>0.80513609631868133</v>
      </c>
    </row>
    <row r="177" spans="7:10" x14ac:dyDescent="0.3">
      <c r="G177" s="118" t="s">
        <v>64</v>
      </c>
      <c r="H177" s="119">
        <v>1499.1343712612611</v>
      </c>
      <c r="I177" s="121">
        <v>4000</v>
      </c>
      <c r="J177" s="132">
        <v>0.62521640718468474</v>
      </c>
    </row>
    <row r="178" spans="7:10" x14ac:dyDescent="0.3">
      <c r="G178" s="118" t="s">
        <v>63</v>
      </c>
      <c r="H178" s="119">
        <v>1576.6093712612615</v>
      </c>
      <c r="J178" s="132" t="s">
        <v>148</v>
      </c>
    </row>
    <row r="179" spans="7:10" x14ac:dyDescent="0.3">
      <c r="G179" s="118" t="s">
        <v>126</v>
      </c>
      <c r="H179" s="119">
        <v>738.60625433540349</v>
      </c>
      <c r="I179" s="121">
        <v>4300</v>
      </c>
      <c r="J179" s="132">
        <v>0.8282311036429294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1A46-18CD-4A6D-842C-873E62EE166E}">
  <dimension ref="B3:H79"/>
  <sheetViews>
    <sheetView workbookViewId="0">
      <selection activeCell="G4" sqref="G4"/>
    </sheetView>
  </sheetViews>
  <sheetFormatPr baseColWidth="10" defaultRowHeight="14.4" x14ac:dyDescent="0.3"/>
  <cols>
    <col min="2" max="2" width="23" bestFit="1" customWidth="1"/>
    <col min="3" max="3" width="22.5546875" bestFit="1" customWidth="1"/>
    <col min="4" max="4" width="21.77734375" bestFit="1" customWidth="1"/>
    <col min="5" max="5" width="18" bestFit="1" customWidth="1"/>
    <col min="6" max="6" width="20" customWidth="1"/>
    <col min="7" max="7" width="12.6640625" style="132" bestFit="1" customWidth="1"/>
    <col min="8" max="8" width="11.77734375" style="119" bestFit="1" customWidth="1"/>
  </cols>
  <sheetData>
    <row r="3" spans="2:8" x14ac:dyDescent="0.3">
      <c r="B3" s="41" t="s">
        <v>149</v>
      </c>
      <c r="C3" s="133" t="s">
        <v>141</v>
      </c>
      <c r="D3" s="133" t="s">
        <v>143</v>
      </c>
      <c r="E3" s="133" t="s">
        <v>76</v>
      </c>
      <c r="F3" s="134" t="s">
        <v>96</v>
      </c>
      <c r="G3" s="132" t="s">
        <v>151</v>
      </c>
      <c r="H3" s="119" t="s">
        <v>152</v>
      </c>
    </row>
    <row r="4" spans="2:8" x14ac:dyDescent="0.3">
      <c r="B4" s="135" t="s">
        <v>88</v>
      </c>
      <c r="C4" s="133">
        <v>578.12713472222231</v>
      </c>
      <c r="D4" s="133">
        <v>149.37234000000001</v>
      </c>
      <c r="E4" s="133">
        <v>727.49947472222232</v>
      </c>
      <c r="F4" s="134">
        <v>2000</v>
      </c>
      <c r="G4" s="138">
        <f>+(F4-E4)/F4</f>
        <v>0.63625026263888895</v>
      </c>
      <c r="H4" s="119">
        <f>+E4/(1-0.7)</f>
        <v>2424.998249074074</v>
      </c>
    </row>
    <row r="5" spans="2:8" x14ac:dyDescent="0.3">
      <c r="B5" s="135" t="s">
        <v>80</v>
      </c>
      <c r="C5" s="133">
        <v>3577.7651333333338</v>
      </c>
      <c r="D5" s="133">
        <v>216.05734000000001</v>
      </c>
      <c r="E5" s="133">
        <v>3793.8224733333336</v>
      </c>
      <c r="F5" s="134">
        <v>10500</v>
      </c>
      <c r="G5" s="132">
        <f t="shared" ref="G5:G24" si="0">+(F5-E5)/F5</f>
        <v>0.63868357396825393</v>
      </c>
      <c r="H5" s="119">
        <f t="shared" ref="H5:H24" si="1">+E5/(1-0.7)</f>
        <v>12646.074911111111</v>
      </c>
    </row>
    <row r="6" spans="2:8" x14ac:dyDescent="0.3">
      <c r="B6" s="135" t="s">
        <v>79</v>
      </c>
      <c r="C6" s="133">
        <v>2460</v>
      </c>
      <c r="D6" s="133">
        <v>216</v>
      </c>
      <c r="E6" s="133">
        <f>+D6+C6</f>
        <v>2676</v>
      </c>
      <c r="F6" s="134">
        <v>7500</v>
      </c>
      <c r="G6" s="132">
        <f t="shared" si="0"/>
        <v>0.64319999999999999</v>
      </c>
      <c r="H6" s="119">
        <f t="shared" si="1"/>
        <v>8919.9999999999982</v>
      </c>
    </row>
    <row r="7" spans="2:8" x14ac:dyDescent="0.3">
      <c r="B7" s="135" t="s">
        <v>83</v>
      </c>
      <c r="C7" s="133">
        <v>2007.4664473271569</v>
      </c>
      <c r="D7" s="133">
        <v>216.05734000000001</v>
      </c>
      <c r="E7" s="133">
        <v>2223.5237873271567</v>
      </c>
      <c r="F7" s="136">
        <v>8500</v>
      </c>
      <c r="G7" s="132">
        <f t="shared" si="0"/>
        <v>0.73840896619680518</v>
      </c>
      <c r="H7" s="119">
        <f t="shared" si="1"/>
        <v>7411.7459577571881</v>
      </c>
    </row>
    <row r="8" spans="2:8" x14ac:dyDescent="0.3">
      <c r="B8" s="135" t="s">
        <v>81</v>
      </c>
      <c r="C8" s="133">
        <v>1042.1189999464996</v>
      </c>
      <c r="D8" s="133">
        <v>149.37234000000001</v>
      </c>
      <c r="E8" s="133">
        <v>1191.4913399464995</v>
      </c>
      <c r="F8" s="136">
        <v>4500</v>
      </c>
      <c r="G8" s="132">
        <f t="shared" si="0"/>
        <v>0.73522414667855562</v>
      </c>
      <c r="H8" s="119">
        <f t="shared" si="1"/>
        <v>3971.6377998216644</v>
      </c>
    </row>
    <row r="9" spans="2:8" x14ac:dyDescent="0.3">
      <c r="B9" s="135" t="s">
        <v>133</v>
      </c>
      <c r="C9" s="133">
        <v>2691.3852684940857</v>
      </c>
      <c r="D9" s="133">
        <v>216.05734000000001</v>
      </c>
      <c r="E9" s="133">
        <v>2907.442608494086</v>
      </c>
      <c r="F9" s="136">
        <v>8500</v>
      </c>
      <c r="G9" s="132">
        <f t="shared" si="0"/>
        <v>0.65794792841246041</v>
      </c>
      <c r="H9" s="119">
        <f t="shared" si="1"/>
        <v>9691.4753616469516</v>
      </c>
    </row>
    <row r="10" spans="2:8" x14ac:dyDescent="0.3">
      <c r="B10" s="135" t="s">
        <v>78</v>
      </c>
      <c r="C10" s="133">
        <v>5768.7595804753055</v>
      </c>
      <c r="D10" s="133">
        <v>432.11468000000002</v>
      </c>
      <c r="E10" s="133">
        <v>6200.8742604753052</v>
      </c>
      <c r="F10" s="136">
        <v>18000</v>
      </c>
      <c r="G10" s="132">
        <f t="shared" si="0"/>
        <v>0.65550698552914966</v>
      </c>
      <c r="H10" s="119">
        <f t="shared" si="1"/>
        <v>20669.580868251014</v>
      </c>
    </row>
    <row r="11" spans="2:8" x14ac:dyDescent="0.3">
      <c r="B11" s="135" t="s">
        <v>77</v>
      </c>
      <c r="C11" s="133">
        <v>3726.5264555020553</v>
      </c>
      <c r="D11" s="133">
        <v>216.05734000000001</v>
      </c>
      <c r="E11" s="133">
        <v>3942.5837955020552</v>
      </c>
      <c r="F11" s="136">
        <v>11000</v>
      </c>
      <c r="G11" s="132">
        <f t="shared" si="0"/>
        <v>0.64158329131799496</v>
      </c>
      <c r="H11" s="119">
        <f t="shared" si="1"/>
        <v>13141.945985006849</v>
      </c>
    </row>
    <row r="12" spans="2:8" x14ac:dyDescent="0.3">
      <c r="B12" s="135" t="s">
        <v>137</v>
      </c>
      <c r="C12" s="133">
        <v>2580.3356090496413</v>
      </c>
      <c r="D12" s="133">
        <v>216.05734000000001</v>
      </c>
      <c r="E12" s="133">
        <v>2796.3929490496412</v>
      </c>
      <c r="F12" s="136">
        <v>7000</v>
      </c>
      <c r="G12" s="132">
        <f t="shared" si="0"/>
        <v>0.6005152929929084</v>
      </c>
      <c r="H12" s="119">
        <f t="shared" si="1"/>
        <v>9321.30983016547</v>
      </c>
    </row>
    <row r="13" spans="2:8" x14ac:dyDescent="0.3">
      <c r="B13" s="135" t="s">
        <v>136</v>
      </c>
      <c r="C13" s="133">
        <v>5350.1376947764738</v>
      </c>
      <c r="D13" s="133">
        <v>432.11468000000002</v>
      </c>
      <c r="E13" s="133">
        <v>5782.2523747764735</v>
      </c>
      <c r="F13" s="136">
        <v>17000</v>
      </c>
      <c r="G13" s="132">
        <f t="shared" si="0"/>
        <v>0.65986750736608979</v>
      </c>
      <c r="H13" s="119">
        <f t="shared" si="1"/>
        <v>19274.174582588243</v>
      </c>
    </row>
    <row r="14" spans="2:8" x14ac:dyDescent="0.3">
      <c r="B14" s="135" t="s">
        <v>134</v>
      </c>
      <c r="C14" s="133">
        <v>3030.731876821796</v>
      </c>
      <c r="D14" s="133">
        <v>216.05734000000001</v>
      </c>
      <c r="E14" s="133">
        <v>3246.7892168217959</v>
      </c>
      <c r="F14" s="136">
        <v>11500</v>
      </c>
      <c r="G14" s="132">
        <f t="shared" si="0"/>
        <v>0.71767050288506129</v>
      </c>
      <c r="H14" s="119">
        <f t="shared" si="1"/>
        <v>10822.630722739317</v>
      </c>
    </row>
    <row r="15" spans="2:8" x14ac:dyDescent="0.3">
      <c r="B15" s="135" t="s">
        <v>150</v>
      </c>
      <c r="C15" s="133">
        <f>+C16*2</f>
        <v>6676.7498162731154</v>
      </c>
      <c r="D15" s="133">
        <f t="shared" ref="D15:F15" si="2">+D16*2</f>
        <v>432.11468000000002</v>
      </c>
      <c r="E15" s="133">
        <f t="shared" si="2"/>
        <v>7108.864496273115</v>
      </c>
      <c r="F15" s="133">
        <v>22000</v>
      </c>
      <c r="G15" s="132">
        <f t="shared" si="0"/>
        <v>0.67686979562394922</v>
      </c>
      <c r="H15" s="119">
        <f t="shared" si="1"/>
        <v>23696.214987577048</v>
      </c>
    </row>
    <row r="16" spans="2:8" x14ac:dyDescent="0.3">
      <c r="B16" s="135" t="s">
        <v>85</v>
      </c>
      <c r="C16" s="133">
        <v>3338.3749081365577</v>
      </c>
      <c r="D16" s="133">
        <v>216.05734000000001</v>
      </c>
      <c r="E16" s="133">
        <v>3554.4322481365575</v>
      </c>
      <c r="F16" s="136">
        <v>11500</v>
      </c>
      <c r="G16" s="132">
        <f t="shared" si="0"/>
        <v>0.69091893494464718</v>
      </c>
      <c r="H16" s="119">
        <f t="shared" si="1"/>
        <v>11848.107493788524</v>
      </c>
    </row>
    <row r="17" spans="2:8" x14ac:dyDescent="0.3">
      <c r="B17" s="135" t="s">
        <v>135</v>
      </c>
      <c r="C17" s="133">
        <v>5690.067019251389</v>
      </c>
      <c r="D17" s="133">
        <v>432.11468000000002</v>
      </c>
      <c r="E17" s="133">
        <v>6122.1816992513886</v>
      </c>
      <c r="F17" s="136">
        <v>19000</v>
      </c>
      <c r="G17" s="132">
        <f t="shared" si="0"/>
        <v>0.6777799105657164</v>
      </c>
      <c r="H17" s="119">
        <f t="shared" si="1"/>
        <v>20407.272330837961</v>
      </c>
    </row>
    <row r="18" spans="2:8" x14ac:dyDescent="0.3">
      <c r="B18" s="135" t="s">
        <v>87</v>
      </c>
      <c r="C18" s="133">
        <v>194.51099236641221</v>
      </c>
      <c r="D18" s="133">
        <v>149.37234000000001</v>
      </c>
      <c r="E18" s="133">
        <v>343.88333236641222</v>
      </c>
      <c r="F18" s="136">
        <v>800</v>
      </c>
      <c r="G18" s="132">
        <f t="shared" si="0"/>
        <v>0.57014583454198475</v>
      </c>
      <c r="H18" s="119">
        <f t="shared" si="1"/>
        <v>1146.2777745547073</v>
      </c>
    </row>
    <row r="19" spans="2:8" x14ac:dyDescent="0.3">
      <c r="B19" s="137" t="s">
        <v>127</v>
      </c>
      <c r="C19" s="133">
        <v>905.60150940170945</v>
      </c>
      <c r="D19" s="133">
        <v>149.37234000000001</v>
      </c>
      <c r="E19" s="133">
        <v>1054.9738494017095</v>
      </c>
      <c r="F19" s="136">
        <v>4000</v>
      </c>
      <c r="G19" s="132">
        <f t="shared" si="0"/>
        <v>0.73625653764957266</v>
      </c>
      <c r="H19" s="119">
        <f t="shared" si="1"/>
        <v>3516.5794980056976</v>
      </c>
    </row>
    <row r="20" spans="2:8" x14ac:dyDescent="0.3">
      <c r="B20" s="137" t="s">
        <v>71</v>
      </c>
      <c r="C20" s="133">
        <v>561.37584561403503</v>
      </c>
      <c r="D20" s="133">
        <v>149.37234000000001</v>
      </c>
      <c r="E20" s="133">
        <v>710.74818561403504</v>
      </c>
      <c r="F20" s="136">
        <v>3900</v>
      </c>
      <c r="G20" s="132">
        <f t="shared" si="0"/>
        <v>0.81775687548358078</v>
      </c>
      <c r="H20" s="119">
        <f t="shared" si="1"/>
        <v>2369.1606187134498</v>
      </c>
    </row>
    <row r="21" spans="2:8" x14ac:dyDescent="0.3">
      <c r="B21" s="137" t="s">
        <v>61</v>
      </c>
      <c r="C21" s="133">
        <v>630.08327472527458</v>
      </c>
      <c r="D21" s="133">
        <v>149.37234000000001</v>
      </c>
      <c r="E21" s="133">
        <v>779.45561472527459</v>
      </c>
      <c r="F21" s="136">
        <v>4000</v>
      </c>
      <c r="G21" s="132">
        <f t="shared" si="0"/>
        <v>0.80513609631868133</v>
      </c>
      <c r="H21" s="119">
        <f t="shared" si="1"/>
        <v>2598.1853824175814</v>
      </c>
    </row>
    <row r="22" spans="2:8" x14ac:dyDescent="0.3">
      <c r="B22" s="137" t="s">
        <v>64</v>
      </c>
      <c r="C22" s="133">
        <v>1349.7620312612612</v>
      </c>
      <c r="D22" s="133">
        <v>149.37234000000001</v>
      </c>
      <c r="E22" s="133">
        <v>1499.1343712612611</v>
      </c>
      <c r="F22" s="136">
        <v>4000</v>
      </c>
      <c r="G22" s="132">
        <f t="shared" si="0"/>
        <v>0.62521640718468474</v>
      </c>
      <c r="H22" s="119">
        <f t="shared" si="1"/>
        <v>4997.11457087087</v>
      </c>
    </row>
    <row r="23" spans="2:8" x14ac:dyDescent="0.3">
      <c r="B23" s="137" t="s">
        <v>63</v>
      </c>
      <c r="C23" s="133">
        <v>1427.2370312612613</v>
      </c>
      <c r="D23" s="133">
        <v>149.37234000000001</v>
      </c>
      <c r="E23" s="133">
        <v>1576.6093712612615</v>
      </c>
      <c r="F23" s="136">
        <v>4300</v>
      </c>
      <c r="G23" s="132">
        <f t="shared" si="0"/>
        <v>0.63334665784621824</v>
      </c>
      <c r="H23" s="119">
        <f t="shared" si="1"/>
        <v>5255.3645708708709</v>
      </c>
    </row>
    <row r="24" spans="2:8" x14ac:dyDescent="0.3">
      <c r="B24" s="137" t="s">
        <v>126</v>
      </c>
      <c r="C24" s="133">
        <v>589.23391433540348</v>
      </c>
      <c r="D24" s="133">
        <v>149.37234000000001</v>
      </c>
      <c r="E24" s="133">
        <v>738.60625433540349</v>
      </c>
      <c r="F24" s="136">
        <v>4000</v>
      </c>
      <c r="G24" s="132">
        <f t="shared" si="0"/>
        <v>0.81534843641614907</v>
      </c>
      <c r="H24" s="119">
        <f t="shared" si="1"/>
        <v>2462.0208477846782</v>
      </c>
    </row>
    <row r="26" spans="2:8" x14ac:dyDescent="0.3">
      <c r="F26" s="121"/>
    </row>
    <row r="34" spans="6:6" x14ac:dyDescent="0.3">
      <c r="F34" s="121"/>
    </row>
    <row r="40" spans="6:6" x14ac:dyDescent="0.3">
      <c r="F40" s="121"/>
    </row>
    <row r="44" spans="6:6" x14ac:dyDescent="0.3">
      <c r="F44" s="121"/>
    </row>
    <row r="53" spans="6:6" x14ac:dyDescent="0.3">
      <c r="F53" s="121"/>
    </row>
    <row r="59" spans="6:6" x14ac:dyDescent="0.3">
      <c r="F59" s="121"/>
    </row>
    <row r="63" spans="6:6" x14ac:dyDescent="0.3">
      <c r="F63" s="121"/>
    </row>
    <row r="71" spans="6:6" x14ac:dyDescent="0.3">
      <c r="F71" s="121"/>
    </row>
    <row r="74" spans="6:6" x14ac:dyDescent="0.3">
      <c r="F74" s="121"/>
    </row>
    <row r="75" spans="6:6" x14ac:dyDescent="0.3">
      <c r="F75" s="121"/>
    </row>
    <row r="76" spans="6:6" x14ac:dyDescent="0.3">
      <c r="F76" s="121"/>
    </row>
    <row r="77" spans="6:6" x14ac:dyDescent="0.3">
      <c r="F77" s="121"/>
    </row>
    <row r="79" spans="6:6" x14ac:dyDescent="0.3">
      <c r="F79" s="1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F1000"/>
  <sheetViews>
    <sheetView workbookViewId="0">
      <selection activeCell="F3" sqref="F3:F7"/>
    </sheetView>
  </sheetViews>
  <sheetFormatPr baseColWidth="10" defaultColWidth="14.44140625" defaultRowHeight="15" customHeight="1" x14ac:dyDescent="0.3"/>
  <cols>
    <col min="1" max="2" width="10.6640625" customWidth="1"/>
    <col min="3" max="3" width="19" customWidth="1"/>
    <col min="4" max="4" width="21.6640625" customWidth="1"/>
    <col min="5" max="5" width="8.5546875" customWidth="1"/>
    <col min="6" max="6" width="18.6640625" customWidth="1"/>
    <col min="7" max="26" width="10.6640625" customWidth="1"/>
  </cols>
  <sheetData>
    <row r="1" spans="3:6" ht="14.25" customHeight="1" x14ac:dyDescent="0.3"/>
    <row r="2" spans="3:6" ht="14.25" customHeight="1" x14ac:dyDescent="0.3">
      <c r="C2" s="25" t="s">
        <v>73</v>
      </c>
      <c r="D2" s="25" t="s">
        <v>89</v>
      </c>
      <c r="E2" s="25" t="s">
        <v>75</v>
      </c>
      <c r="F2" s="33" t="s">
        <v>100</v>
      </c>
    </row>
    <row r="3" spans="3:6" ht="14.25" customHeight="1" x14ac:dyDescent="0.3">
      <c r="C3" s="113" t="s">
        <v>77</v>
      </c>
      <c r="D3" s="28" t="s">
        <v>66</v>
      </c>
      <c r="E3" s="28">
        <v>2</v>
      </c>
      <c r="F3" s="114">
        <v>11000</v>
      </c>
    </row>
    <row r="4" spans="3:6" ht="14.25" customHeight="1" x14ac:dyDescent="0.3">
      <c r="C4" s="104"/>
      <c r="D4" s="15" t="s">
        <v>70</v>
      </c>
      <c r="E4" s="15">
        <v>2</v>
      </c>
      <c r="F4" s="104"/>
    </row>
    <row r="5" spans="3:6" ht="14.25" customHeight="1" x14ac:dyDescent="0.3">
      <c r="C5" s="104"/>
      <c r="D5" s="28" t="s">
        <v>68</v>
      </c>
      <c r="E5" s="28">
        <v>2</v>
      </c>
      <c r="F5" s="104"/>
    </row>
    <row r="6" spans="3:6" ht="14.25" customHeight="1" x14ac:dyDescent="0.3">
      <c r="C6" s="104"/>
      <c r="D6" s="28" t="s">
        <v>57</v>
      </c>
      <c r="E6" s="28">
        <v>2</v>
      </c>
      <c r="F6" s="104"/>
    </row>
    <row r="7" spans="3:6" ht="14.25" customHeight="1" x14ac:dyDescent="0.3">
      <c r="C7" s="105"/>
      <c r="D7" s="15" t="s">
        <v>59</v>
      </c>
      <c r="E7" s="15">
        <v>2</v>
      </c>
      <c r="F7" s="105"/>
    </row>
    <row r="8" spans="3:6" ht="14.25" customHeight="1" x14ac:dyDescent="0.3">
      <c r="C8" s="113" t="s">
        <v>78</v>
      </c>
      <c r="D8" s="28" t="s">
        <v>69</v>
      </c>
      <c r="E8" s="28">
        <v>3</v>
      </c>
      <c r="F8" s="114">
        <v>17600</v>
      </c>
    </row>
    <row r="9" spans="3:6" ht="14.25" customHeight="1" x14ac:dyDescent="0.3">
      <c r="C9" s="104"/>
      <c r="D9" s="15" t="s">
        <v>68</v>
      </c>
      <c r="E9" s="15">
        <v>3</v>
      </c>
      <c r="F9" s="104"/>
    </row>
    <row r="10" spans="3:6" ht="14.25" customHeight="1" x14ac:dyDescent="0.3">
      <c r="C10" s="104"/>
      <c r="D10" s="28" t="s">
        <v>70</v>
      </c>
      <c r="E10" s="28">
        <v>3</v>
      </c>
      <c r="F10" s="104"/>
    </row>
    <row r="11" spans="3:6" ht="14.25" customHeight="1" x14ac:dyDescent="0.3">
      <c r="C11" s="104"/>
      <c r="D11" s="15" t="s">
        <v>66</v>
      </c>
      <c r="E11" s="15">
        <v>3</v>
      </c>
      <c r="F11" s="104"/>
    </row>
    <row r="12" spans="3:6" ht="14.25" customHeight="1" x14ac:dyDescent="0.3">
      <c r="C12" s="104"/>
      <c r="D12" s="28" t="s">
        <v>59</v>
      </c>
      <c r="E12" s="28">
        <v>2</v>
      </c>
      <c r="F12" s="104"/>
    </row>
    <row r="13" spans="3:6" ht="14.25" customHeight="1" x14ac:dyDescent="0.3">
      <c r="C13" s="104"/>
      <c r="D13" s="15" t="s">
        <v>57</v>
      </c>
      <c r="E13" s="15">
        <v>2</v>
      </c>
      <c r="F13" s="104"/>
    </row>
    <row r="14" spans="3:6" ht="14.25" customHeight="1" x14ac:dyDescent="0.3">
      <c r="C14" s="105"/>
      <c r="D14" s="28" t="s">
        <v>60</v>
      </c>
      <c r="E14" s="28">
        <v>2</v>
      </c>
      <c r="F14" s="105"/>
    </row>
    <row r="15" spans="3:6" ht="14.25" customHeight="1" x14ac:dyDescent="0.3">
      <c r="C15" s="113" t="s">
        <v>85</v>
      </c>
      <c r="D15" s="28" t="s">
        <v>65</v>
      </c>
      <c r="E15" s="28">
        <v>1</v>
      </c>
      <c r="F15" s="114">
        <v>11000</v>
      </c>
    </row>
    <row r="16" spans="3:6" ht="14.25" customHeight="1" x14ac:dyDescent="0.3">
      <c r="C16" s="104"/>
      <c r="D16" s="15" t="s">
        <v>71</v>
      </c>
      <c r="E16" s="15">
        <v>1</v>
      </c>
      <c r="F16" s="104"/>
    </row>
    <row r="17" spans="3:6" ht="14.25" customHeight="1" x14ac:dyDescent="0.3">
      <c r="C17" s="105"/>
      <c r="D17" s="28" t="s">
        <v>63</v>
      </c>
      <c r="E17" s="28">
        <v>1</v>
      </c>
      <c r="F17" s="105"/>
    </row>
    <row r="18" spans="3:6" ht="14.25" customHeight="1" x14ac:dyDescent="0.3">
      <c r="C18" s="113" t="s">
        <v>80</v>
      </c>
      <c r="D18" s="28" t="s">
        <v>60</v>
      </c>
      <c r="E18" s="28">
        <v>2</v>
      </c>
      <c r="F18" s="114">
        <v>9350</v>
      </c>
    </row>
    <row r="19" spans="3:6" ht="14.25" customHeight="1" x14ac:dyDescent="0.3">
      <c r="C19" s="104"/>
      <c r="D19" s="15" t="s">
        <v>59</v>
      </c>
      <c r="E19" s="15">
        <v>1</v>
      </c>
      <c r="F19" s="104"/>
    </row>
    <row r="20" spans="3:6" ht="14.25" customHeight="1" x14ac:dyDescent="0.3">
      <c r="C20" s="105"/>
      <c r="D20" s="28" t="s">
        <v>57</v>
      </c>
      <c r="E20" s="28">
        <v>3</v>
      </c>
      <c r="F20" s="105"/>
    </row>
    <row r="21" spans="3:6" ht="14.25" customHeight="1" x14ac:dyDescent="0.3">
      <c r="C21" s="113" t="s">
        <v>83</v>
      </c>
      <c r="D21" s="28" t="s">
        <v>66</v>
      </c>
      <c r="E21" s="28">
        <v>5</v>
      </c>
      <c r="F21" s="114">
        <v>9350</v>
      </c>
    </row>
    <row r="22" spans="3:6" ht="14.25" customHeight="1" x14ac:dyDescent="0.3">
      <c r="C22" s="104"/>
      <c r="D22" s="15" t="s">
        <v>69</v>
      </c>
      <c r="E22" s="15">
        <v>1</v>
      </c>
      <c r="F22" s="104"/>
    </row>
    <row r="23" spans="3:6" ht="14.25" customHeight="1" x14ac:dyDescent="0.3">
      <c r="C23" s="104"/>
      <c r="D23" s="28" t="s">
        <v>68</v>
      </c>
      <c r="E23" s="28">
        <v>3</v>
      </c>
      <c r="F23" s="104"/>
    </row>
    <row r="24" spans="3:6" ht="14.25" customHeight="1" x14ac:dyDescent="0.3">
      <c r="C24" s="105"/>
      <c r="D24" s="15" t="s">
        <v>70</v>
      </c>
      <c r="E24" s="15">
        <v>3</v>
      </c>
      <c r="F24" s="105"/>
    </row>
    <row r="25" spans="3:6" ht="14.25" customHeight="1" x14ac:dyDescent="0.3">
      <c r="C25" s="113" t="s">
        <v>81</v>
      </c>
      <c r="D25" s="28" t="s">
        <v>66</v>
      </c>
      <c r="E25" s="28">
        <v>2</v>
      </c>
      <c r="F25" s="114">
        <v>4950</v>
      </c>
    </row>
    <row r="26" spans="3:6" ht="14.25" customHeight="1" x14ac:dyDescent="0.3">
      <c r="C26" s="104"/>
      <c r="D26" s="15" t="s">
        <v>70</v>
      </c>
      <c r="E26" s="15">
        <v>2</v>
      </c>
      <c r="F26" s="104"/>
    </row>
    <row r="27" spans="3:6" ht="14.25" customHeight="1" x14ac:dyDescent="0.3">
      <c r="C27" s="105"/>
      <c r="D27" s="28" t="s">
        <v>68</v>
      </c>
      <c r="E27" s="28">
        <v>2</v>
      </c>
      <c r="F27" s="105"/>
    </row>
    <row r="28" spans="3:6" ht="14.25" customHeight="1" x14ac:dyDescent="0.3">
      <c r="C28" s="30" t="s">
        <v>86</v>
      </c>
      <c r="D28" s="28" t="s">
        <v>65</v>
      </c>
      <c r="E28" s="28">
        <v>1</v>
      </c>
      <c r="F28" s="34">
        <v>4500</v>
      </c>
    </row>
    <row r="29" spans="3:6" ht="14.25" customHeight="1" x14ac:dyDescent="0.3">
      <c r="C29" s="30" t="s">
        <v>86</v>
      </c>
      <c r="D29" s="28" t="s">
        <v>64</v>
      </c>
      <c r="E29" s="28">
        <v>1</v>
      </c>
      <c r="F29" s="34">
        <v>3850.0000000000005</v>
      </c>
    </row>
    <row r="30" spans="3:6" ht="14.25" customHeight="1" x14ac:dyDescent="0.3">
      <c r="C30" s="30" t="s">
        <v>86</v>
      </c>
      <c r="D30" s="28" t="s">
        <v>63</v>
      </c>
      <c r="E30" s="28">
        <v>1</v>
      </c>
      <c r="F30" s="34">
        <v>3850.0000000000005</v>
      </c>
    </row>
    <row r="31" spans="3:6" ht="14.25" customHeight="1" x14ac:dyDescent="0.3">
      <c r="C31" s="30" t="s">
        <v>86</v>
      </c>
      <c r="D31" s="28" t="s">
        <v>61</v>
      </c>
      <c r="E31" s="28">
        <v>1</v>
      </c>
      <c r="F31" s="34">
        <v>3850.0000000000005</v>
      </c>
    </row>
    <row r="32" spans="3:6" ht="14.25" customHeight="1" x14ac:dyDescent="0.3">
      <c r="C32" s="30" t="s">
        <v>86</v>
      </c>
      <c r="D32" s="28" t="s">
        <v>72</v>
      </c>
      <c r="E32" s="28">
        <v>1</v>
      </c>
      <c r="F32" s="34">
        <v>3850.0000000000005</v>
      </c>
    </row>
    <row r="33" spans="3:6" ht="14.25" customHeight="1" x14ac:dyDescent="0.3">
      <c r="C33" s="30" t="s">
        <v>86</v>
      </c>
      <c r="D33" s="28" t="s">
        <v>71</v>
      </c>
      <c r="E33" s="28">
        <v>1</v>
      </c>
      <c r="F33" s="34">
        <v>3850.0000000000005</v>
      </c>
    </row>
    <row r="34" spans="3:6" ht="14.25" customHeight="1" x14ac:dyDescent="0.3">
      <c r="C34" s="30" t="s">
        <v>87</v>
      </c>
      <c r="D34" s="28" t="s">
        <v>68</v>
      </c>
      <c r="E34" s="28">
        <v>1</v>
      </c>
      <c r="F34" s="34">
        <v>880.00000000000011</v>
      </c>
    </row>
    <row r="35" spans="3:6" ht="14.25" customHeight="1" x14ac:dyDescent="0.3">
      <c r="C35" s="30" t="s">
        <v>88</v>
      </c>
      <c r="D35" s="28" t="s">
        <v>59</v>
      </c>
      <c r="E35" s="28">
        <v>1</v>
      </c>
      <c r="F35" s="34">
        <v>2232.1840743055554</v>
      </c>
    </row>
    <row r="36" spans="3:6" ht="14.25" customHeight="1" x14ac:dyDescent="0.3"/>
    <row r="37" spans="3:6" ht="14.25" customHeight="1" x14ac:dyDescent="0.3"/>
    <row r="38" spans="3:6" ht="14.25" customHeight="1" x14ac:dyDescent="0.3"/>
    <row r="39" spans="3:6" ht="14.25" customHeight="1" x14ac:dyDescent="0.3"/>
    <row r="40" spans="3:6" ht="14.25" customHeight="1" x14ac:dyDescent="0.3"/>
    <row r="41" spans="3:6" ht="14.25" customHeight="1" x14ac:dyDescent="0.3"/>
    <row r="42" spans="3:6" ht="14.25" customHeight="1" x14ac:dyDescent="0.3"/>
    <row r="43" spans="3:6" ht="14.25" customHeight="1" x14ac:dyDescent="0.3"/>
    <row r="44" spans="3:6" ht="14.25" customHeight="1" x14ac:dyDescent="0.3"/>
    <row r="45" spans="3:6" ht="14.25" customHeight="1" x14ac:dyDescent="0.3"/>
    <row r="46" spans="3:6" ht="14.25" customHeight="1" x14ac:dyDescent="0.3"/>
    <row r="47" spans="3:6" ht="14.25" customHeight="1" x14ac:dyDescent="0.3"/>
    <row r="48" spans="3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C18:C20"/>
    <mergeCell ref="C21:C24"/>
    <mergeCell ref="C25:C27"/>
    <mergeCell ref="F21:F24"/>
    <mergeCell ref="F25:F27"/>
    <mergeCell ref="F18:F20"/>
    <mergeCell ref="C3:C7"/>
    <mergeCell ref="F3:F7"/>
    <mergeCell ref="C8:C14"/>
    <mergeCell ref="F8:F14"/>
    <mergeCell ref="C15:C17"/>
    <mergeCell ref="F15:F17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1000000}">
          <x14:formula1>
            <xm:f>'4) Packaging'!$B$4:$B$27</xm:f>
          </x14:formula1>
          <xm:sqref>C3 C8 C15 C18 C21 C25 C28:C33</xm:sqref>
        </x14:dataValidation>
        <x14:dataValidation type="list" allowBlank="1" showErrorMessage="1" xr:uid="{00000000-0002-0000-0600-000002000000}">
          <x14:formula1>
            <xm:f>'4) Packaging'!$B$4:$B$33</xm:f>
          </x14:formula1>
          <xm:sqref>C34:C35</xm:sqref>
        </x14:dataValidation>
        <x14:dataValidation type="list" allowBlank="1" showErrorMessage="1" xr:uid="{00000000-0002-0000-0600-000000000000}">
          <x14:formula1>
            <xm:f>'3) costo mp'!#REF!</xm:f>
          </x14:formula1>
          <xm:sqref>D3:D35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1000"/>
  <sheetViews>
    <sheetView workbookViewId="0">
      <selection activeCell="D6" sqref="D6"/>
    </sheetView>
  </sheetViews>
  <sheetFormatPr baseColWidth="10" defaultColWidth="14.44140625" defaultRowHeight="15" customHeight="1" x14ac:dyDescent="0.3"/>
  <cols>
    <col min="1" max="1" width="10.6640625" customWidth="1"/>
    <col min="2" max="2" width="19.44140625" customWidth="1"/>
    <col min="3" max="6" width="10.6640625" customWidth="1"/>
    <col min="7" max="7" width="24.109375" customWidth="1"/>
    <col min="8" max="8" width="17.33203125" customWidth="1"/>
    <col min="9" max="9" width="28.109375" customWidth="1"/>
    <col min="10" max="26" width="10.6640625" customWidth="1"/>
  </cols>
  <sheetData>
    <row r="1" spans="2:13" ht="14.25" customHeight="1" x14ac:dyDescent="0.3">
      <c r="H1" s="24"/>
      <c r="I1" s="24"/>
    </row>
    <row r="2" spans="2:13" ht="14.25" customHeight="1" x14ac:dyDescent="0.3">
      <c r="B2" s="15" t="s">
        <v>89</v>
      </c>
      <c r="C2" s="15" t="s">
        <v>104</v>
      </c>
      <c r="D2" s="15" t="s">
        <v>105</v>
      </c>
      <c r="E2" s="15" t="s">
        <v>106</v>
      </c>
      <c r="G2" s="15" t="s">
        <v>107</v>
      </c>
      <c r="H2" s="35" t="s">
        <v>108</v>
      </c>
      <c r="I2" s="35" t="s">
        <v>109</v>
      </c>
    </row>
    <row r="3" spans="2:13" ht="14.25" customHeight="1" x14ac:dyDescent="0.3">
      <c r="B3" s="15" t="s">
        <v>110</v>
      </c>
      <c r="C3" s="15">
        <v>4716</v>
      </c>
      <c r="D3" s="15">
        <f t="shared" ref="D3:D5" si="0">+ROUNDDOWN(C3/40,0)</f>
        <v>117</v>
      </c>
      <c r="E3" s="15">
        <f t="shared" ref="E3:E6" si="1">+ROUNDDOWN(C3/120,0)</f>
        <v>39</v>
      </c>
      <c r="G3" s="15" t="s">
        <v>111</v>
      </c>
      <c r="H3" s="35">
        <v>0.5</v>
      </c>
      <c r="I3" s="35">
        <v>0.5</v>
      </c>
      <c r="L3" s="16"/>
      <c r="M3" s="16"/>
    </row>
    <row r="4" spans="2:13" ht="14.25" customHeight="1" x14ac:dyDescent="0.3">
      <c r="B4" s="15" t="s">
        <v>112</v>
      </c>
      <c r="C4" s="15">
        <v>4715</v>
      </c>
      <c r="D4" s="15">
        <f t="shared" si="0"/>
        <v>117</v>
      </c>
      <c r="E4" s="15">
        <f t="shared" si="1"/>
        <v>39</v>
      </c>
      <c r="G4" s="15" t="s">
        <v>113</v>
      </c>
      <c r="H4" s="35">
        <v>0.37</v>
      </c>
      <c r="I4" s="35">
        <v>0.63</v>
      </c>
      <c r="L4" s="16"/>
      <c r="M4" s="16"/>
    </row>
    <row r="5" spans="2:13" ht="14.25" customHeight="1" x14ac:dyDescent="0.3">
      <c r="B5" s="15" t="s">
        <v>114</v>
      </c>
      <c r="C5" s="15">
        <v>5260</v>
      </c>
      <c r="D5" s="15">
        <f t="shared" si="0"/>
        <v>131</v>
      </c>
      <c r="E5" s="15">
        <f t="shared" si="1"/>
        <v>43</v>
      </c>
      <c r="H5" s="24"/>
      <c r="I5" s="24"/>
      <c r="L5" s="16"/>
      <c r="M5" s="16"/>
    </row>
    <row r="6" spans="2:13" ht="14.25" customHeight="1" x14ac:dyDescent="0.3">
      <c r="B6" s="15" t="s">
        <v>115</v>
      </c>
      <c r="C6" s="15">
        <v>4440</v>
      </c>
      <c r="D6" s="15"/>
      <c r="E6" s="15">
        <f t="shared" si="1"/>
        <v>37</v>
      </c>
      <c r="H6" s="24"/>
      <c r="I6" s="24"/>
      <c r="L6" s="16"/>
      <c r="M6" s="16"/>
    </row>
    <row r="7" spans="2:13" ht="14.25" customHeight="1" x14ac:dyDescent="0.3">
      <c r="B7" s="15" t="s">
        <v>116</v>
      </c>
      <c r="C7" s="15">
        <f>150+250+25+12.5</f>
        <v>437.5</v>
      </c>
      <c r="D7" s="15"/>
      <c r="E7" s="15">
        <f>+ROUNDDOWN(C7/20,0)</f>
        <v>21</v>
      </c>
      <c r="H7" s="24"/>
      <c r="I7" s="24"/>
      <c r="L7" s="16"/>
      <c r="M7" s="16"/>
    </row>
    <row r="8" spans="2:13" ht="14.25" customHeight="1" x14ac:dyDescent="0.3">
      <c r="B8" s="36" t="s">
        <v>117</v>
      </c>
      <c r="C8" s="36">
        <v>400</v>
      </c>
      <c r="E8" s="15">
        <f>+ROUNDDOWN(C8/15,0)</f>
        <v>26</v>
      </c>
      <c r="H8" s="24"/>
      <c r="I8" s="24"/>
      <c r="L8" s="16"/>
      <c r="M8" s="16"/>
    </row>
    <row r="9" spans="2:13" ht="14.25" customHeight="1" x14ac:dyDescent="0.3">
      <c r="B9" s="36" t="s">
        <v>118</v>
      </c>
      <c r="C9" s="36">
        <v>4816</v>
      </c>
      <c r="D9" s="19">
        <f>+C9/40</f>
        <v>120.4</v>
      </c>
      <c r="E9" s="15"/>
      <c r="H9" s="24"/>
      <c r="I9" s="24"/>
    </row>
    <row r="10" spans="2:13" ht="14.25" customHeight="1" x14ac:dyDescent="0.3">
      <c r="B10" s="36" t="s">
        <v>119</v>
      </c>
      <c r="C10" s="19">
        <v>709</v>
      </c>
      <c r="D10" s="19" t="s">
        <v>120</v>
      </c>
      <c r="E10" s="15">
        <f>+ROUNDDOWN(C10/13,0)</f>
        <v>54</v>
      </c>
      <c r="H10" s="24"/>
      <c r="I10" s="24"/>
    </row>
    <row r="11" spans="2:13" ht="14.25" customHeight="1" x14ac:dyDescent="0.3">
      <c r="B11" s="36"/>
      <c r="G11" s="115" t="s">
        <v>121</v>
      </c>
      <c r="H11" s="116"/>
      <c r="I11" s="116"/>
      <c r="J11" s="116"/>
    </row>
    <row r="12" spans="2:13" ht="14.25" customHeight="1" x14ac:dyDescent="0.3">
      <c r="G12" s="15" t="s">
        <v>33</v>
      </c>
      <c r="H12" s="15" t="str">
        <f>+VLOOKUP(G12,'1) Planilla maestra insumos'!$B$3:$D$98,2,FALSE)</f>
        <v>kg</v>
      </c>
      <c r="I12" s="15">
        <v>2</v>
      </c>
      <c r="J12" s="24">
        <f t="shared" ref="J12:J14" si="2">+I12/$I$15</f>
        <v>0.75757575757575757</v>
      </c>
    </row>
    <row r="13" spans="2:13" ht="14.25" customHeight="1" x14ac:dyDescent="0.3">
      <c r="G13" s="15" t="s">
        <v>6</v>
      </c>
      <c r="H13" s="15" t="str">
        <f>+VLOOKUP(G13,'1) Planilla maestra insumos'!$B$3:$D$98,2,FALSE)</f>
        <v>kg</v>
      </c>
      <c r="I13" s="15">
        <v>0.6</v>
      </c>
      <c r="J13" s="24">
        <f t="shared" si="2"/>
        <v>0.22727272727272727</v>
      </c>
    </row>
    <row r="14" spans="2:13" ht="14.25" customHeight="1" x14ac:dyDescent="0.3">
      <c r="G14" s="15" t="s">
        <v>38</v>
      </c>
      <c r="H14" s="15" t="str">
        <f>+VLOOKUP(G14,'1) Planilla maestra insumos'!$B$3:$D$98,2,FALSE)</f>
        <v>kg</v>
      </c>
      <c r="I14" s="15">
        <v>0.04</v>
      </c>
      <c r="J14" s="24">
        <f t="shared" si="2"/>
        <v>1.5151515151515152E-2</v>
      </c>
    </row>
    <row r="15" spans="2:13" ht="14.25" customHeight="1" x14ac:dyDescent="0.3">
      <c r="H15" s="24"/>
      <c r="I15" s="16">
        <f>SUM(I12:I14)</f>
        <v>2.64</v>
      </c>
    </row>
    <row r="16" spans="2:13" ht="14.25" customHeight="1" x14ac:dyDescent="0.3">
      <c r="H16" s="24"/>
      <c r="I16" s="24"/>
    </row>
    <row r="17" spans="7:10" ht="14.25" customHeight="1" x14ac:dyDescent="0.3">
      <c r="H17" s="24"/>
      <c r="I17" s="24"/>
    </row>
    <row r="18" spans="7:10" ht="14.25" customHeight="1" x14ac:dyDescent="0.3">
      <c r="H18" s="24"/>
      <c r="I18" s="24"/>
    </row>
    <row r="19" spans="7:10" ht="14.25" customHeight="1" x14ac:dyDescent="0.3">
      <c r="G19" s="115" t="s">
        <v>122</v>
      </c>
      <c r="H19" s="116"/>
      <c r="I19" s="116"/>
    </row>
    <row r="20" spans="7:10" ht="14.25" customHeight="1" x14ac:dyDescent="0.3">
      <c r="G20" s="19" t="s">
        <v>108</v>
      </c>
      <c r="H20" s="24" t="s">
        <v>25</v>
      </c>
      <c r="I20" s="37">
        <v>100</v>
      </c>
      <c r="J20" s="24">
        <f t="shared" ref="J20:J21" si="3">+I20/$I$22</f>
        <v>0.83333333333333337</v>
      </c>
    </row>
    <row r="21" spans="7:10" ht="14.25" customHeight="1" x14ac:dyDescent="0.3">
      <c r="G21" s="19" t="s">
        <v>123</v>
      </c>
      <c r="H21" s="24" t="s">
        <v>25</v>
      </c>
      <c r="I21" s="37">
        <v>20</v>
      </c>
      <c r="J21" s="24">
        <f t="shared" si="3"/>
        <v>0.16666666666666666</v>
      </c>
    </row>
    <row r="22" spans="7:10" ht="14.25" customHeight="1" x14ac:dyDescent="0.3">
      <c r="H22" s="24"/>
      <c r="I22" s="37">
        <f>SUM(I20:I21)</f>
        <v>120</v>
      </c>
    </row>
    <row r="23" spans="7:10" ht="14.25" customHeight="1" x14ac:dyDescent="0.3">
      <c r="H23" s="24"/>
      <c r="I23" s="24"/>
    </row>
    <row r="24" spans="7:10" ht="14.25" customHeight="1" x14ac:dyDescent="0.3">
      <c r="H24" s="24"/>
      <c r="I24" s="24"/>
    </row>
    <row r="25" spans="7:10" ht="14.25" customHeight="1" x14ac:dyDescent="0.3">
      <c r="H25" s="24"/>
      <c r="I25" s="24"/>
    </row>
    <row r="26" spans="7:10" ht="14.25" customHeight="1" x14ac:dyDescent="0.3">
      <c r="H26" s="24"/>
      <c r="I26" s="24"/>
    </row>
    <row r="27" spans="7:10" ht="14.25" customHeight="1" x14ac:dyDescent="0.3">
      <c r="H27" s="24"/>
      <c r="I27" s="24"/>
    </row>
    <row r="28" spans="7:10" ht="14.25" customHeight="1" x14ac:dyDescent="0.3">
      <c r="H28" s="24"/>
      <c r="I28" s="24"/>
    </row>
    <row r="29" spans="7:10" ht="14.25" customHeight="1" x14ac:dyDescent="0.3">
      <c r="H29" s="24"/>
      <c r="I29" s="24"/>
    </row>
    <row r="30" spans="7:10" ht="14.25" customHeight="1" x14ac:dyDescent="0.3">
      <c r="H30" s="24"/>
      <c r="I30" s="24"/>
    </row>
    <row r="31" spans="7:10" ht="14.25" customHeight="1" x14ac:dyDescent="0.3">
      <c r="H31" s="24"/>
      <c r="I31" s="24"/>
    </row>
    <row r="32" spans="7:10" ht="14.25" customHeight="1" x14ac:dyDescent="0.3">
      <c r="H32" s="24"/>
      <c r="I32" s="24"/>
    </row>
    <row r="33" spans="8:9" ht="14.25" customHeight="1" x14ac:dyDescent="0.3">
      <c r="H33" s="24"/>
      <c r="I33" s="24"/>
    </row>
    <row r="34" spans="8:9" ht="14.25" customHeight="1" x14ac:dyDescent="0.3">
      <c r="H34" s="24"/>
      <c r="I34" s="24"/>
    </row>
    <row r="35" spans="8:9" ht="14.25" customHeight="1" x14ac:dyDescent="0.3">
      <c r="H35" s="24"/>
      <c r="I35" s="24"/>
    </row>
    <row r="36" spans="8:9" ht="14.25" customHeight="1" x14ac:dyDescent="0.3">
      <c r="H36" s="24"/>
      <c r="I36" s="24"/>
    </row>
    <row r="37" spans="8:9" ht="14.25" customHeight="1" x14ac:dyDescent="0.3">
      <c r="H37" s="24"/>
      <c r="I37" s="24"/>
    </row>
    <row r="38" spans="8:9" ht="14.25" customHeight="1" x14ac:dyDescent="0.3">
      <c r="H38" s="24"/>
      <c r="I38" s="24"/>
    </row>
    <row r="39" spans="8:9" ht="14.25" customHeight="1" x14ac:dyDescent="0.3">
      <c r="H39" s="24"/>
      <c r="I39" s="24"/>
    </row>
    <row r="40" spans="8:9" ht="14.25" customHeight="1" x14ac:dyDescent="0.3">
      <c r="H40" s="24"/>
      <c r="I40" s="24"/>
    </row>
    <row r="41" spans="8:9" ht="14.25" customHeight="1" x14ac:dyDescent="0.3">
      <c r="H41" s="24"/>
      <c r="I41" s="24"/>
    </row>
    <row r="42" spans="8:9" ht="14.25" customHeight="1" x14ac:dyDescent="0.3">
      <c r="H42" s="24"/>
      <c r="I42" s="24"/>
    </row>
    <row r="43" spans="8:9" ht="14.25" customHeight="1" x14ac:dyDescent="0.3">
      <c r="H43" s="24"/>
      <c r="I43" s="24"/>
    </row>
    <row r="44" spans="8:9" ht="14.25" customHeight="1" x14ac:dyDescent="0.3">
      <c r="H44" s="24"/>
      <c r="I44" s="24"/>
    </row>
    <row r="45" spans="8:9" ht="14.25" customHeight="1" x14ac:dyDescent="0.3">
      <c r="H45" s="24"/>
      <c r="I45" s="24"/>
    </row>
    <row r="46" spans="8:9" ht="14.25" customHeight="1" x14ac:dyDescent="0.3">
      <c r="H46" s="24"/>
      <c r="I46" s="24"/>
    </row>
    <row r="47" spans="8:9" ht="14.25" customHeight="1" x14ac:dyDescent="0.3">
      <c r="H47" s="24"/>
      <c r="I47" s="24"/>
    </row>
    <row r="48" spans="8:9" ht="14.25" customHeight="1" x14ac:dyDescent="0.3">
      <c r="H48" s="24"/>
      <c r="I48" s="24"/>
    </row>
    <row r="49" spans="8:9" ht="14.25" customHeight="1" x14ac:dyDescent="0.3">
      <c r="H49" s="24"/>
      <c r="I49" s="24"/>
    </row>
    <row r="50" spans="8:9" ht="14.25" customHeight="1" x14ac:dyDescent="0.3">
      <c r="H50" s="24"/>
      <c r="I50" s="24"/>
    </row>
    <row r="51" spans="8:9" ht="14.25" customHeight="1" x14ac:dyDescent="0.3">
      <c r="H51" s="24"/>
      <c r="I51" s="24"/>
    </row>
    <row r="52" spans="8:9" ht="14.25" customHeight="1" x14ac:dyDescent="0.3">
      <c r="H52" s="24"/>
      <c r="I52" s="24"/>
    </row>
    <row r="53" spans="8:9" ht="14.25" customHeight="1" x14ac:dyDescent="0.3">
      <c r="H53" s="24"/>
      <c r="I53" s="24"/>
    </row>
    <row r="54" spans="8:9" ht="14.25" customHeight="1" x14ac:dyDescent="0.3">
      <c r="H54" s="24"/>
      <c r="I54" s="24"/>
    </row>
    <row r="55" spans="8:9" ht="14.25" customHeight="1" x14ac:dyDescent="0.3">
      <c r="H55" s="24"/>
      <c r="I55" s="24"/>
    </row>
    <row r="56" spans="8:9" ht="14.25" customHeight="1" x14ac:dyDescent="0.3">
      <c r="H56" s="24"/>
      <c r="I56" s="24"/>
    </row>
    <row r="57" spans="8:9" ht="14.25" customHeight="1" x14ac:dyDescent="0.3">
      <c r="H57" s="24"/>
      <c r="I57" s="24"/>
    </row>
    <row r="58" spans="8:9" ht="14.25" customHeight="1" x14ac:dyDescent="0.3">
      <c r="H58" s="24"/>
      <c r="I58" s="24"/>
    </row>
    <row r="59" spans="8:9" ht="14.25" customHeight="1" x14ac:dyDescent="0.3">
      <c r="H59" s="24"/>
      <c r="I59" s="24"/>
    </row>
    <row r="60" spans="8:9" ht="14.25" customHeight="1" x14ac:dyDescent="0.3">
      <c r="H60" s="24"/>
      <c r="I60" s="24"/>
    </row>
    <row r="61" spans="8:9" ht="14.25" customHeight="1" x14ac:dyDescent="0.3">
      <c r="H61" s="24"/>
      <c r="I61" s="24"/>
    </row>
    <row r="62" spans="8:9" ht="14.25" customHeight="1" x14ac:dyDescent="0.3">
      <c r="H62" s="24"/>
      <c r="I62" s="24"/>
    </row>
    <row r="63" spans="8:9" ht="14.25" customHeight="1" x14ac:dyDescent="0.3">
      <c r="H63" s="24"/>
      <c r="I63" s="24"/>
    </row>
    <row r="64" spans="8:9" ht="14.25" customHeight="1" x14ac:dyDescent="0.3">
      <c r="H64" s="24"/>
      <c r="I64" s="24"/>
    </row>
    <row r="65" spans="8:9" ht="14.25" customHeight="1" x14ac:dyDescent="0.3">
      <c r="H65" s="24"/>
      <c r="I65" s="24"/>
    </row>
    <row r="66" spans="8:9" ht="14.25" customHeight="1" x14ac:dyDescent="0.3">
      <c r="H66" s="24"/>
      <c r="I66" s="24"/>
    </row>
    <row r="67" spans="8:9" ht="14.25" customHeight="1" x14ac:dyDescent="0.3">
      <c r="H67" s="24"/>
      <c r="I67" s="24"/>
    </row>
    <row r="68" spans="8:9" ht="14.25" customHeight="1" x14ac:dyDescent="0.3">
      <c r="H68" s="24"/>
      <c r="I68" s="24"/>
    </row>
    <row r="69" spans="8:9" ht="14.25" customHeight="1" x14ac:dyDescent="0.3">
      <c r="H69" s="24"/>
      <c r="I69" s="24"/>
    </row>
    <row r="70" spans="8:9" ht="14.25" customHeight="1" x14ac:dyDescent="0.3">
      <c r="H70" s="24"/>
      <c r="I70" s="24"/>
    </row>
    <row r="71" spans="8:9" ht="14.25" customHeight="1" x14ac:dyDescent="0.3">
      <c r="H71" s="24"/>
      <c r="I71" s="24"/>
    </row>
    <row r="72" spans="8:9" ht="14.25" customHeight="1" x14ac:dyDescent="0.3">
      <c r="H72" s="24"/>
      <c r="I72" s="24"/>
    </row>
    <row r="73" spans="8:9" ht="14.25" customHeight="1" x14ac:dyDescent="0.3">
      <c r="H73" s="24"/>
      <c r="I73" s="24"/>
    </row>
    <row r="74" spans="8:9" ht="14.25" customHeight="1" x14ac:dyDescent="0.3">
      <c r="H74" s="24"/>
      <c r="I74" s="24"/>
    </row>
    <row r="75" spans="8:9" ht="14.25" customHeight="1" x14ac:dyDescent="0.3">
      <c r="H75" s="24"/>
      <c r="I75" s="24"/>
    </row>
    <row r="76" spans="8:9" ht="14.25" customHeight="1" x14ac:dyDescent="0.3">
      <c r="H76" s="24"/>
      <c r="I76" s="24"/>
    </row>
    <row r="77" spans="8:9" ht="14.25" customHeight="1" x14ac:dyDescent="0.3">
      <c r="H77" s="24"/>
      <c r="I77" s="24"/>
    </row>
    <row r="78" spans="8:9" ht="14.25" customHeight="1" x14ac:dyDescent="0.3">
      <c r="H78" s="24"/>
      <c r="I78" s="24"/>
    </row>
    <row r="79" spans="8:9" ht="14.25" customHeight="1" x14ac:dyDescent="0.3">
      <c r="H79" s="24"/>
      <c r="I79" s="24"/>
    </row>
    <row r="80" spans="8:9" ht="14.25" customHeight="1" x14ac:dyDescent="0.3">
      <c r="H80" s="24"/>
      <c r="I80" s="24"/>
    </row>
    <row r="81" spans="8:9" ht="14.25" customHeight="1" x14ac:dyDescent="0.3">
      <c r="H81" s="24"/>
      <c r="I81" s="24"/>
    </row>
    <row r="82" spans="8:9" ht="14.25" customHeight="1" x14ac:dyDescent="0.3">
      <c r="H82" s="24"/>
      <c r="I82" s="24"/>
    </row>
    <row r="83" spans="8:9" ht="14.25" customHeight="1" x14ac:dyDescent="0.3">
      <c r="H83" s="24"/>
      <c r="I83" s="24"/>
    </row>
    <row r="84" spans="8:9" ht="14.25" customHeight="1" x14ac:dyDescent="0.3">
      <c r="H84" s="24"/>
      <c r="I84" s="24"/>
    </row>
    <row r="85" spans="8:9" ht="14.25" customHeight="1" x14ac:dyDescent="0.3">
      <c r="H85" s="24"/>
      <c r="I85" s="24"/>
    </row>
    <row r="86" spans="8:9" ht="14.25" customHeight="1" x14ac:dyDescent="0.3">
      <c r="H86" s="24"/>
      <c r="I86" s="24"/>
    </row>
    <row r="87" spans="8:9" ht="14.25" customHeight="1" x14ac:dyDescent="0.3">
      <c r="H87" s="24"/>
      <c r="I87" s="24"/>
    </row>
    <row r="88" spans="8:9" ht="14.25" customHeight="1" x14ac:dyDescent="0.3">
      <c r="H88" s="24"/>
      <c r="I88" s="24"/>
    </row>
    <row r="89" spans="8:9" ht="14.25" customHeight="1" x14ac:dyDescent="0.3">
      <c r="H89" s="24"/>
      <c r="I89" s="24"/>
    </row>
    <row r="90" spans="8:9" ht="14.25" customHeight="1" x14ac:dyDescent="0.3">
      <c r="H90" s="24"/>
      <c r="I90" s="24"/>
    </row>
    <row r="91" spans="8:9" ht="14.25" customHeight="1" x14ac:dyDescent="0.3">
      <c r="H91" s="24"/>
      <c r="I91" s="24"/>
    </row>
    <row r="92" spans="8:9" ht="14.25" customHeight="1" x14ac:dyDescent="0.3">
      <c r="H92" s="24"/>
      <c r="I92" s="24"/>
    </row>
    <row r="93" spans="8:9" ht="14.25" customHeight="1" x14ac:dyDescent="0.3">
      <c r="H93" s="24"/>
      <c r="I93" s="24"/>
    </row>
    <row r="94" spans="8:9" ht="14.25" customHeight="1" x14ac:dyDescent="0.3">
      <c r="H94" s="24"/>
      <c r="I94" s="24"/>
    </row>
    <row r="95" spans="8:9" ht="14.25" customHeight="1" x14ac:dyDescent="0.3">
      <c r="H95" s="24"/>
      <c r="I95" s="24"/>
    </row>
    <row r="96" spans="8:9" ht="14.25" customHeight="1" x14ac:dyDescent="0.3">
      <c r="H96" s="24"/>
      <c r="I96" s="24"/>
    </row>
    <row r="97" spans="8:9" ht="14.25" customHeight="1" x14ac:dyDescent="0.3">
      <c r="H97" s="24"/>
      <c r="I97" s="24"/>
    </row>
    <row r="98" spans="8:9" ht="14.25" customHeight="1" x14ac:dyDescent="0.3">
      <c r="H98" s="24"/>
      <c r="I98" s="24"/>
    </row>
    <row r="99" spans="8:9" ht="14.25" customHeight="1" x14ac:dyDescent="0.3">
      <c r="H99" s="24"/>
      <c r="I99" s="24"/>
    </row>
    <row r="100" spans="8:9" ht="14.25" customHeight="1" x14ac:dyDescent="0.3">
      <c r="H100" s="24"/>
      <c r="I100" s="24"/>
    </row>
    <row r="101" spans="8:9" ht="14.25" customHeight="1" x14ac:dyDescent="0.3">
      <c r="H101" s="24"/>
      <c r="I101" s="24"/>
    </row>
    <row r="102" spans="8:9" ht="14.25" customHeight="1" x14ac:dyDescent="0.3">
      <c r="H102" s="24"/>
      <c r="I102" s="24"/>
    </row>
    <row r="103" spans="8:9" ht="14.25" customHeight="1" x14ac:dyDescent="0.3">
      <c r="H103" s="24"/>
      <c r="I103" s="24"/>
    </row>
    <row r="104" spans="8:9" ht="14.25" customHeight="1" x14ac:dyDescent="0.3">
      <c r="H104" s="24"/>
      <c r="I104" s="24"/>
    </row>
    <row r="105" spans="8:9" ht="14.25" customHeight="1" x14ac:dyDescent="0.3">
      <c r="H105" s="24"/>
      <c r="I105" s="24"/>
    </row>
    <row r="106" spans="8:9" ht="14.25" customHeight="1" x14ac:dyDescent="0.3">
      <c r="H106" s="24"/>
      <c r="I106" s="24"/>
    </row>
    <row r="107" spans="8:9" ht="14.25" customHeight="1" x14ac:dyDescent="0.3">
      <c r="H107" s="24"/>
      <c r="I107" s="24"/>
    </row>
    <row r="108" spans="8:9" ht="14.25" customHeight="1" x14ac:dyDescent="0.3">
      <c r="H108" s="24"/>
      <c r="I108" s="24"/>
    </row>
    <row r="109" spans="8:9" ht="14.25" customHeight="1" x14ac:dyDescent="0.3">
      <c r="H109" s="24"/>
      <c r="I109" s="24"/>
    </row>
    <row r="110" spans="8:9" ht="14.25" customHeight="1" x14ac:dyDescent="0.3">
      <c r="H110" s="24"/>
      <c r="I110" s="24"/>
    </row>
    <row r="111" spans="8:9" ht="14.25" customHeight="1" x14ac:dyDescent="0.3">
      <c r="H111" s="24"/>
      <c r="I111" s="24"/>
    </row>
    <row r="112" spans="8:9" ht="14.25" customHeight="1" x14ac:dyDescent="0.3">
      <c r="H112" s="24"/>
      <c r="I112" s="24"/>
    </row>
    <row r="113" spans="8:9" ht="14.25" customHeight="1" x14ac:dyDescent="0.3">
      <c r="H113" s="24"/>
      <c r="I113" s="24"/>
    </row>
    <row r="114" spans="8:9" ht="14.25" customHeight="1" x14ac:dyDescent="0.3">
      <c r="H114" s="24"/>
      <c r="I114" s="24"/>
    </row>
    <row r="115" spans="8:9" ht="14.25" customHeight="1" x14ac:dyDescent="0.3">
      <c r="H115" s="24"/>
      <c r="I115" s="24"/>
    </row>
    <row r="116" spans="8:9" ht="14.25" customHeight="1" x14ac:dyDescent="0.3">
      <c r="H116" s="24"/>
      <c r="I116" s="24"/>
    </row>
    <row r="117" spans="8:9" ht="14.25" customHeight="1" x14ac:dyDescent="0.3">
      <c r="H117" s="24"/>
      <c r="I117" s="24"/>
    </row>
    <row r="118" spans="8:9" ht="14.25" customHeight="1" x14ac:dyDescent="0.3">
      <c r="H118" s="24"/>
      <c r="I118" s="24"/>
    </row>
    <row r="119" spans="8:9" ht="14.25" customHeight="1" x14ac:dyDescent="0.3">
      <c r="H119" s="24"/>
      <c r="I119" s="24"/>
    </row>
    <row r="120" spans="8:9" ht="14.25" customHeight="1" x14ac:dyDescent="0.3">
      <c r="H120" s="24"/>
      <c r="I120" s="24"/>
    </row>
    <row r="121" spans="8:9" ht="14.25" customHeight="1" x14ac:dyDescent="0.3">
      <c r="H121" s="24"/>
      <c r="I121" s="24"/>
    </row>
    <row r="122" spans="8:9" ht="14.25" customHeight="1" x14ac:dyDescent="0.3">
      <c r="H122" s="24"/>
      <c r="I122" s="24"/>
    </row>
    <row r="123" spans="8:9" ht="14.25" customHeight="1" x14ac:dyDescent="0.3">
      <c r="H123" s="24"/>
      <c r="I123" s="24"/>
    </row>
    <row r="124" spans="8:9" ht="14.25" customHeight="1" x14ac:dyDescent="0.3">
      <c r="H124" s="24"/>
      <c r="I124" s="24"/>
    </row>
    <row r="125" spans="8:9" ht="14.25" customHeight="1" x14ac:dyDescent="0.3">
      <c r="H125" s="24"/>
      <c r="I125" s="24"/>
    </row>
    <row r="126" spans="8:9" ht="14.25" customHeight="1" x14ac:dyDescent="0.3">
      <c r="H126" s="24"/>
      <c r="I126" s="24"/>
    </row>
    <row r="127" spans="8:9" ht="14.25" customHeight="1" x14ac:dyDescent="0.3">
      <c r="H127" s="24"/>
      <c r="I127" s="24"/>
    </row>
    <row r="128" spans="8:9" ht="14.25" customHeight="1" x14ac:dyDescent="0.3">
      <c r="H128" s="24"/>
      <c r="I128" s="24"/>
    </row>
    <row r="129" spans="8:9" ht="14.25" customHeight="1" x14ac:dyDescent="0.3">
      <c r="H129" s="24"/>
      <c r="I129" s="24"/>
    </row>
    <row r="130" spans="8:9" ht="14.25" customHeight="1" x14ac:dyDescent="0.3">
      <c r="H130" s="24"/>
      <c r="I130" s="24"/>
    </row>
    <row r="131" spans="8:9" ht="14.25" customHeight="1" x14ac:dyDescent="0.3">
      <c r="H131" s="24"/>
      <c r="I131" s="24"/>
    </row>
    <row r="132" spans="8:9" ht="14.25" customHeight="1" x14ac:dyDescent="0.3">
      <c r="H132" s="24"/>
      <c r="I132" s="24"/>
    </row>
    <row r="133" spans="8:9" ht="14.25" customHeight="1" x14ac:dyDescent="0.3">
      <c r="H133" s="24"/>
      <c r="I133" s="24"/>
    </row>
    <row r="134" spans="8:9" ht="14.25" customHeight="1" x14ac:dyDescent="0.3">
      <c r="H134" s="24"/>
      <c r="I134" s="24"/>
    </row>
    <row r="135" spans="8:9" ht="14.25" customHeight="1" x14ac:dyDescent="0.3">
      <c r="H135" s="24"/>
      <c r="I135" s="24"/>
    </row>
    <row r="136" spans="8:9" ht="14.25" customHeight="1" x14ac:dyDescent="0.3">
      <c r="H136" s="24"/>
      <c r="I136" s="24"/>
    </row>
    <row r="137" spans="8:9" ht="14.25" customHeight="1" x14ac:dyDescent="0.3">
      <c r="H137" s="24"/>
      <c r="I137" s="24"/>
    </row>
    <row r="138" spans="8:9" ht="14.25" customHeight="1" x14ac:dyDescent="0.3">
      <c r="H138" s="24"/>
      <c r="I138" s="24"/>
    </row>
    <row r="139" spans="8:9" ht="14.25" customHeight="1" x14ac:dyDescent="0.3">
      <c r="H139" s="24"/>
      <c r="I139" s="24"/>
    </row>
    <row r="140" spans="8:9" ht="14.25" customHeight="1" x14ac:dyDescent="0.3">
      <c r="H140" s="24"/>
      <c r="I140" s="24"/>
    </row>
    <row r="141" spans="8:9" ht="14.25" customHeight="1" x14ac:dyDescent="0.3">
      <c r="H141" s="24"/>
      <c r="I141" s="24"/>
    </row>
    <row r="142" spans="8:9" ht="14.25" customHeight="1" x14ac:dyDescent="0.3">
      <c r="H142" s="24"/>
      <c r="I142" s="24"/>
    </row>
    <row r="143" spans="8:9" ht="14.25" customHeight="1" x14ac:dyDescent="0.3">
      <c r="H143" s="24"/>
      <c r="I143" s="24"/>
    </row>
    <row r="144" spans="8:9" ht="14.25" customHeight="1" x14ac:dyDescent="0.3">
      <c r="H144" s="24"/>
      <c r="I144" s="24"/>
    </row>
    <row r="145" spans="8:9" ht="14.25" customHeight="1" x14ac:dyDescent="0.3">
      <c r="H145" s="24"/>
      <c r="I145" s="24"/>
    </row>
    <row r="146" spans="8:9" ht="14.25" customHeight="1" x14ac:dyDescent="0.3">
      <c r="H146" s="24"/>
      <c r="I146" s="24"/>
    </row>
    <row r="147" spans="8:9" ht="14.25" customHeight="1" x14ac:dyDescent="0.3">
      <c r="H147" s="24"/>
      <c r="I147" s="24"/>
    </row>
    <row r="148" spans="8:9" ht="14.25" customHeight="1" x14ac:dyDescent="0.3">
      <c r="H148" s="24"/>
      <c r="I148" s="24"/>
    </row>
    <row r="149" spans="8:9" ht="14.25" customHeight="1" x14ac:dyDescent="0.3">
      <c r="H149" s="24"/>
      <c r="I149" s="24"/>
    </row>
    <row r="150" spans="8:9" ht="14.25" customHeight="1" x14ac:dyDescent="0.3">
      <c r="H150" s="24"/>
      <c r="I150" s="24"/>
    </row>
    <row r="151" spans="8:9" ht="14.25" customHeight="1" x14ac:dyDescent="0.3">
      <c r="H151" s="24"/>
      <c r="I151" s="24"/>
    </row>
    <row r="152" spans="8:9" ht="14.25" customHeight="1" x14ac:dyDescent="0.3">
      <c r="H152" s="24"/>
      <c r="I152" s="24"/>
    </row>
    <row r="153" spans="8:9" ht="14.25" customHeight="1" x14ac:dyDescent="0.3">
      <c r="H153" s="24"/>
      <c r="I153" s="24"/>
    </row>
    <row r="154" spans="8:9" ht="14.25" customHeight="1" x14ac:dyDescent="0.3">
      <c r="H154" s="24"/>
      <c r="I154" s="24"/>
    </row>
    <row r="155" spans="8:9" ht="14.25" customHeight="1" x14ac:dyDescent="0.3">
      <c r="H155" s="24"/>
      <c r="I155" s="24"/>
    </row>
    <row r="156" spans="8:9" ht="14.25" customHeight="1" x14ac:dyDescent="0.3">
      <c r="H156" s="24"/>
      <c r="I156" s="24"/>
    </row>
    <row r="157" spans="8:9" ht="14.25" customHeight="1" x14ac:dyDescent="0.3">
      <c r="H157" s="24"/>
      <c r="I157" s="24"/>
    </row>
    <row r="158" spans="8:9" ht="14.25" customHeight="1" x14ac:dyDescent="0.3">
      <c r="H158" s="24"/>
      <c r="I158" s="24"/>
    </row>
    <row r="159" spans="8:9" ht="14.25" customHeight="1" x14ac:dyDescent="0.3">
      <c r="H159" s="24"/>
      <c r="I159" s="24"/>
    </row>
    <row r="160" spans="8:9" ht="14.25" customHeight="1" x14ac:dyDescent="0.3">
      <c r="H160" s="24"/>
      <c r="I160" s="24"/>
    </row>
    <row r="161" spans="8:9" ht="14.25" customHeight="1" x14ac:dyDescent="0.3">
      <c r="H161" s="24"/>
      <c r="I161" s="24"/>
    </row>
    <row r="162" spans="8:9" ht="14.25" customHeight="1" x14ac:dyDescent="0.3">
      <c r="H162" s="24"/>
      <c r="I162" s="24"/>
    </row>
    <row r="163" spans="8:9" ht="14.25" customHeight="1" x14ac:dyDescent="0.3">
      <c r="H163" s="24"/>
      <c r="I163" s="24"/>
    </row>
    <row r="164" spans="8:9" ht="14.25" customHeight="1" x14ac:dyDescent="0.3">
      <c r="H164" s="24"/>
      <c r="I164" s="24"/>
    </row>
    <row r="165" spans="8:9" ht="14.25" customHeight="1" x14ac:dyDescent="0.3">
      <c r="H165" s="24"/>
      <c r="I165" s="24"/>
    </row>
    <row r="166" spans="8:9" ht="14.25" customHeight="1" x14ac:dyDescent="0.3">
      <c r="H166" s="24"/>
      <c r="I166" s="24"/>
    </row>
    <row r="167" spans="8:9" ht="14.25" customHeight="1" x14ac:dyDescent="0.3">
      <c r="H167" s="24"/>
      <c r="I167" s="24"/>
    </row>
    <row r="168" spans="8:9" ht="14.25" customHeight="1" x14ac:dyDescent="0.3">
      <c r="H168" s="24"/>
      <c r="I168" s="24"/>
    </row>
    <row r="169" spans="8:9" ht="14.25" customHeight="1" x14ac:dyDescent="0.3">
      <c r="H169" s="24"/>
      <c r="I169" s="24"/>
    </row>
    <row r="170" spans="8:9" ht="14.25" customHeight="1" x14ac:dyDescent="0.3">
      <c r="H170" s="24"/>
      <c r="I170" s="24"/>
    </row>
    <row r="171" spans="8:9" ht="14.25" customHeight="1" x14ac:dyDescent="0.3">
      <c r="H171" s="24"/>
      <c r="I171" s="24"/>
    </row>
    <row r="172" spans="8:9" ht="14.25" customHeight="1" x14ac:dyDescent="0.3">
      <c r="H172" s="24"/>
      <c r="I172" s="24"/>
    </row>
    <row r="173" spans="8:9" ht="14.25" customHeight="1" x14ac:dyDescent="0.3">
      <c r="H173" s="24"/>
      <c r="I173" s="24"/>
    </row>
    <row r="174" spans="8:9" ht="14.25" customHeight="1" x14ac:dyDescent="0.3">
      <c r="H174" s="24"/>
      <c r="I174" s="24"/>
    </row>
    <row r="175" spans="8:9" ht="14.25" customHeight="1" x14ac:dyDescent="0.3">
      <c r="H175" s="24"/>
      <c r="I175" s="24"/>
    </row>
    <row r="176" spans="8:9" ht="14.25" customHeight="1" x14ac:dyDescent="0.3">
      <c r="H176" s="24"/>
      <c r="I176" s="24"/>
    </row>
    <row r="177" spans="8:9" ht="14.25" customHeight="1" x14ac:dyDescent="0.3">
      <c r="H177" s="24"/>
      <c r="I177" s="24"/>
    </row>
    <row r="178" spans="8:9" ht="14.25" customHeight="1" x14ac:dyDescent="0.3">
      <c r="H178" s="24"/>
      <c r="I178" s="24"/>
    </row>
    <row r="179" spans="8:9" ht="14.25" customHeight="1" x14ac:dyDescent="0.3">
      <c r="H179" s="24"/>
      <c r="I179" s="24"/>
    </row>
    <row r="180" spans="8:9" ht="14.25" customHeight="1" x14ac:dyDescent="0.3">
      <c r="H180" s="24"/>
      <c r="I180" s="24"/>
    </row>
    <row r="181" spans="8:9" ht="14.25" customHeight="1" x14ac:dyDescent="0.3">
      <c r="H181" s="24"/>
      <c r="I181" s="24"/>
    </row>
    <row r="182" spans="8:9" ht="14.25" customHeight="1" x14ac:dyDescent="0.3">
      <c r="H182" s="24"/>
      <c r="I182" s="24"/>
    </row>
    <row r="183" spans="8:9" ht="14.25" customHeight="1" x14ac:dyDescent="0.3">
      <c r="H183" s="24"/>
      <c r="I183" s="24"/>
    </row>
    <row r="184" spans="8:9" ht="14.25" customHeight="1" x14ac:dyDescent="0.3">
      <c r="H184" s="24"/>
      <c r="I184" s="24"/>
    </row>
    <row r="185" spans="8:9" ht="14.25" customHeight="1" x14ac:dyDescent="0.3">
      <c r="H185" s="24"/>
      <c r="I185" s="24"/>
    </row>
    <row r="186" spans="8:9" ht="14.25" customHeight="1" x14ac:dyDescent="0.3">
      <c r="H186" s="24"/>
      <c r="I186" s="24"/>
    </row>
    <row r="187" spans="8:9" ht="14.25" customHeight="1" x14ac:dyDescent="0.3">
      <c r="H187" s="24"/>
      <c r="I187" s="24"/>
    </row>
    <row r="188" spans="8:9" ht="14.25" customHeight="1" x14ac:dyDescent="0.3">
      <c r="H188" s="24"/>
      <c r="I188" s="24"/>
    </row>
    <row r="189" spans="8:9" ht="14.25" customHeight="1" x14ac:dyDescent="0.3">
      <c r="H189" s="24"/>
      <c r="I189" s="24"/>
    </row>
    <row r="190" spans="8:9" ht="14.25" customHeight="1" x14ac:dyDescent="0.3">
      <c r="H190" s="24"/>
      <c r="I190" s="24"/>
    </row>
    <row r="191" spans="8:9" ht="14.25" customHeight="1" x14ac:dyDescent="0.3">
      <c r="H191" s="24"/>
      <c r="I191" s="24"/>
    </row>
    <row r="192" spans="8:9" ht="14.25" customHeight="1" x14ac:dyDescent="0.3">
      <c r="H192" s="24"/>
      <c r="I192" s="24"/>
    </row>
    <row r="193" spans="8:9" ht="14.25" customHeight="1" x14ac:dyDescent="0.3">
      <c r="H193" s="24"/>
      <c r="I193" s="24"/>
    </row>
    <row r="194" spans="8:9" ht="14.25" customHeight="1" x14ac:dyDescent="0.3">
      <c r="H194" s="24"/>
      <c r="I194" s="24"/>
    </row>
    <row r="195" spans="8:9" ht="14.25" customHeight="1" x14ac:dyDescent="0.3">
      <c r="H195" s="24"/>
      <c r="I195" s="24"/>
    </row>
    <row r="196" spans="8:9" ht="14.25" customHeight="1" x14ac:dyDescent="0.3">
      <c r="H196" s="24"/>
      <c r="I196" s="24"/>
    </row>
    <row r="197" spans="8:9" ht="14.25" customHeight="1" x14ac:dyDescent="0.3">
      <c r="H197" s="24"/>
      <c r="I197" s="24"/>
    </row>
    <row r="198" spans="8:9" ht="14.25" customHeight="1" x14ac:dyDescent="0.3">
      <c r="H198" s="24"/>
      <c r="I198" s="24"/>
    </row>
    <row r="199" spans="8:9" ht="14.25" customHeight="1" x14ac:dyDescent="0.3">
      <c r="H199" s="24"/>
      <c r="I199" s="24"/>
    </row>
    <row r="200" spans="8:9" ht="14.25" customHeight="1" x14ac:dyDescent="0.3">
      <c r="H200" s="24"/>
      <c r="I200" s="24"/>
    </row>
    <row r="201" spans="8:9" ht="14.25" customHeight="1" x14ac:dyDescent="0.3">
      <c r="H201" s="24"/>
      <c r="I201" s="24"/>
    </row>
    <row r="202" spans="8:9" ht="14.25" customHeight="1" x14ac:dyDescent="0.3">
      <c r="H202" s="24"/>
      <c r="I202" s="24"/>
    </row>
    <row r="203" spans="8:9" ht="14.25" customHeight="1" x14ac:dyDescent="0.3">
      <c r="H203" s="24"/>
      <c r="I203" s="24"/>
    </row>
    <row r="204" spans="8:9" ht="14.25" customHeight="1" x14ac:dyDescent="0.3">
      <c r="H204" s="24"/>
      <c r="I204" s="24"/>
    </row>
    <row r="205" spans="8:9" ht="14.25" customHeight="1" x14ac:dyDescent="0.3">
      <c r="H205" s="24"/>
      <c r="I205" s="24"/>
    </row>
    <row r="206" spans="8:9" ht="14.25" customHeight="1" x14ac:dyDescent="0.3">
      <c r="H206" s="24"/>
      <c r="I206" s="24"/>
    </row>
    <row r="207" spans="8:9" ht="14.25" customHeight="1" x14ac:dyDescent="0.3">
      <c r="H207" s="24"/>
      <c r="I207" s="24"/>
    </row>
    <row r="208" spans="8:9" ht="14.25" customHeight="1" x14ac:dyDescent="0.3">
      <c r="H208" s="24"/>
      <c r="I208" s="24"/>
    </row>
    <row r="209" spans="8:9" ht="14.25" customHeight="1" x14ac:dyDescent="0.3">
      <c r="H209" s="24"/>
      <c r="I209" s="24"/>
    </row>
    <row r="210" spans="8:9" ht="14.25" customHeight="1" x14ac:dyDescent="0.3">
      <c r="H210" s="24"/>
      <c r="I210" s="24"/>
    </row>
    <row r="211" spans="8:9" ht="14.25" customHeight="1" x14ac:dyDescent="0.3">
      <c r="H211" s="24"/>
      <c r="I211" s="24"/>
    </row>
    <row r="212" spans="8:9" ht="14.25" customHeight="1" x14ac:dyDescent="0.3">
      <c r="H212" s="24"/>
      <c r="I212" s="24"/>
    </row>
    <row r="213" spans="8:9" ht="14.25" customHeight="1" x14ac:dyDescent="0.3">
      <c r="H213" s="24"/>
      <c r="I213" s="24"/>
    </row>
    <row r="214" spans="8:9" ht="14.25" customHeight="1" x14ac:dyDescent="0.3">
      <c r="H214" s="24"/>
      <c r="I214" s="24"/>
    </row>
    <row r="215" spans="8:9" ht="14.25" customHeight="1" x14ac:dyDescent="0.3">
      <c r="H215" s="24"/>
      <c r="I215" s="24"/>
    </row>
    <row r="216" spans="8:9" ht="14.25" customHeight="1" x14ac:dyDescent="0.3">
      <c r="H216" s="24"/>
      <c r="I216" s="24"/>
    </row>
    <row r="217" spans="8:9" ht="14.25" customHeight="1" x14ac:dyDescent="0.3">
      <c r="H217" s="24"/>
      <c r="I217" s="24"/>
    </row>
    <row r="218" spans="8:9" ht="14.25" customHeight="1" x14ac:dyDescent="0.3">
      <c r="H218" s="24"/>
      <c r="I218" s="24"/>
    </row>
    <row r="219" spans="8:9" ht="14.25" customHeight="1" x14ac:dyDescent="0.3">
      <c r="H219" s="24"/>
      <c r="I219" s="24"/>
    </row>
    <row r="220" spans="8:9" ht="14.25" customHeight="1" x14ac:dyDescent="0.3">
      <c r="H220" s="24"/>
      <c r="I220" s="24"/>
    </row>
    <row r="221" spans="8:9" ht="14.25" customHeight="1" x14ac:dyDescent="0.3">
      <c r="H221" s="24"/>
      <c r="I221" s="24"/>
    </row>
    <row r="222" spans="8:9" ht="14.25" customHeight="1" x14ac:dyDescent="0.3">
      <c r="H222" s="24"/>
      <c r="I222" s="24"/>
    </row>
    <row r="223" spans="8:9" ht="14.25" customHeight="1" x14ac:dyDescent="0.3">
      <c r="H223" s="24"/>
      <c r="I223" s="24"/>
    </row>
    <row r="224" spans="8:9" ht="14.25" customHeight="1" x14ac:dyDescent="0.3">
      <c r="H224" s="24"/>
      <c r="I224" s="24"/>
    </row>
    <row r="225" spans="8:9" ht="14.25" customHeight="1" x14ac:dyDescent="0.3">
      <c r="H225" s="24"/>
      <c r="I225" s="24"/>
    </row>
    <row r="226" spans="8:9" ht="14.25" customHeight="1" x14ac:dyDescent="0.3">
      <c r="H226" s="24"/>
      <c r="I226" s="24"/>
    </row>
    <row r="227" spans="8:9" ht="14.25" customHeight="1" x14ac:dyDescent="0.3">
      <c r="H227" s="24"/>
      <c r="I227" s="24"/>
    </row>
    <row r="228" spans="8:9" ht="14.25" customHeight="1" x14ac:dyDescent="0.3">
      <c r="H228" s="24"/>
      <c r="I228" s="24"/>
    </row>
    <row r="229" spans="8:9" ht="14.25" customHeight="1" x14ac:dyDescent="0.3">
      <c r="H229" s="24"/>
      <c r="I229" s="24"/>
    </row>
    <row r="230" spans="8:9" ht="14.25" customHeight="1" x14ac:dyDescent="0.3">
      <c r="H230" s="24"/>
      <c r="I230" s="24"/>
    </row>
    <row r="231" spans="8:9" ht="14.25" customHeight="1" x14ac:dyDescent="0.3">
      <c r="H231" s="24"/>
      <c r="I231" s="24"/>
    </row>
    <row r="232" spans="8:9" ht="14.25" customHeight="1" x14ac:dyDescent="0.3">
      <c r="H232" s="24"/>
      <c r="I232" s="24"/>
    </row>
    <row r="233" spans="8:9" ht="14.25" customHeight="1" x14ac:dyDescent="0.3">
      <c r="H233" s="24"/>
      <c r="I233" s="24"/>
    </row>
    <row r="234" spans="8:9" ht="14.25" customHeight="1" x14ac:dyDescent="0.3">
      <c r="H234" s="24"/>
      <c r="I234" s="24"/>
    </row>
    <row r="235" spans="8:9" ht="14.25" customHeight="1" x14ac:dyDescent="0.3">
      <c r="H235" s="24"/>
      <c r="I235" s="24"/>
    </row>
    <row r="236" spans="8:9" ht="14.25" customHeight="1" x14ac:dyDescent="0.3">
      <c r="H236" s="24"/>
      <c r="I236" s="24"/>
    </row>
    <row r="237" spans="8:9" ht="14.25" customHeight="1" x14ac:dyDescent="0.3">
      <c r="H237" s="24"/>
      <c r="I237" s="24"/>
    </row>
    <row r="238" spans="8:9" ht="14.25" customHeight="1" x14ac:dyDescent="0.3">
      <c r="H238" s="24"/>
      <c r="I238" s="24"/>
    </row>
    <row r="239" spans="8:9" ht="14.25" customHeight="1" x14ac:dyDescent="0.3">
      <c r="H239" s="24"/>
      <c r="I239" s="24"/>
    </row>
    <row r="240" spans="8:9" ht="14.25" customHeight="1" x14ac:dyDescent="0.3">
      <c r="H240" s="24"/>
      <c r="I240" s="24"/>
    </row>
    <row r="241" spans="8:9" ht="14.25" customHeight="1" x14ac:dyDescent="0.3">
      <c r="H241" s="24"/>
      <c r="I241" s="24"/>
    </row>
    <row r="242" spans="8:9" ht="14.25" customHeight="1" x14ac:dyDescent="0.3">
      <c r="H242" s="24"/>
      <c r="I242" s="24"/>
    </row>
    <row r="243" spans="8:9" ht="14.25" customHeight="1" x14ac:dyDescent="0.3">
      <c r="H243" s="24"/>
      <c r="I243" s="24"/>
    </row>
    <row r="244" spans="8:9" ht="14.25" customHeight="1" x14ac:dyDescent="0.3">
      <c r="H244" s="24"/>
      <c r="I244" s="24"/>
    </row>
    <row r="245" spans="8:9" ht="14.25" customHeight="1" x14ac:dyDescent="0.3">
      <c r="H245" s="24"/>
      <c r="I245" s="24"/>
    </row>
    <row r="246" spans="8:9" ht="14.25" customHeight="1" x14ac:dyDescent="0.3">
      <c r="H246" s="24"/>
      <c r="I246" s="24"/>
    </row>
    <row r="247" spans="8:9" ht="14.25" customHeight="1" x14ac:dyDescent="0.3">
      <c r="H247" s="24"/>
      <c r="I247" s="24"/>
    </row>
    <row r="248" spans="8:9" ht="14.25" customHeight="1" x14ac:dyDescent="0.3">
      <c r="H248" s="24"/>
      <c r="I248" s="24"/>
    </row>
    <row r="249" spans="8:9" ht="14.25" customHeight="1" x14ac:dyDescent="0.3">
      <c r="H249" s="24"/>
      <c r="I249" s="24"/>
    </row>
    <row r="250" spans="8:9" ht="14.25" customHeight="1" x14ac:dyDescent="0.3">
      <c r="H250" s="24"/>
      <c r="I250" s="24"/>
    </row>
    <row r="251" spans="8:9" ht="14.25" customHeight="1" x14ac:dyDescent="0.3">
      <c r="H251" s="24"/>
      <c r="I251" s="24"/>
    </row>
    <row r="252" spans="8:9" ht="14.25" customHeight="1" x14ac:dyDescent="0.3">
      <c r="H252" s="24"/>
      <c r="I252" s="24"/>
    </row>
    <row r="253" spans="8:9" ht="14.25" customHeight="1" x14ac:dyDescent="0.3">
      <c r="H253" s="24"/>
      <c r="I253" s="24"/>
    </row>
    <row r="254" spans="8:9" ht="14.25" customHeight="1" x14ac:dyDescent="0.3">
      <c r="H254" s="24"/>
      <c r="I254" s="24"/>
    </row>
    <row r="255" spans="8:9" ht="14.25" customHeight="1" x14ac:dyDescent="0.3">
      <c r="H255" s="24"/>
      <c r="I255" s="24"/>
    </row>
    <row r="256" spans="8:9" ht="14.25" customHeight="1" x14ac:dyDescent="0.3">
      <c r="H256" s="24"/>
      <c r="I256" s="24"/>
    </row>
    <row r="257" spans="8:9" ht="14.25" customHeight="1" x14ac:dyDescent="0.3">
      <c r="H257" s="24"/>
      <c r="I257" s="24"/>
    </row>
    <row r="258" spans="8:9" ht="14.25" customHeight="1" x14ac:dyDescent="0.3">
      <c r="H258" s="24"/>
      <c r="I258" s="24"/>
    </row>
    <row r="259" spans="8:9" ht="14.25" customHeight="1" x14ac:dyDescent="0.3">
      <c r="H259" s="24"/>
      <c r="I259" s="24"/>
    </row>
    <row r="260" spans="8:9" ht="14.25" customHeight="1" x14ac:dyDescent="0.3">
      <c r="H260" s="24"/>
      <c r="I260" s="24"/>
    </row>
    <row r="261" spans="8:9" ht="14.25" customHeight="1" x14ac:dyDescent="0.3">
      <c r="H261" s="24"/>
      <c r="I261" s="24"/>
    </row>
    <row r="262" spans="8:9" ht="14.25" customHeight="1" x14ac:dyDescent="0.3">
      <c r="H262" s="24"/>
      <c r="I262" s="24"/>
    </row>
    <row r="263" spans="8:9" ht="14.25" customHeight="1" x14ac:dyDescent="0.3">
      <c r="H263" s="24"/>
      <c r="I263" s="24"/>
    </row>
    <row r="264" spans="8:9" ht="14.25" customHeight="1" x14ac:dyDescent="0.3">
      <c r="H264" s="24"/>
      <c r="I264" s="24"/>
    </row>
    <row r="265" spans="8:9" ht="14.25" customHeight="1" x14ac:dyDescent="0.3">
      <c r="H265" s="24"/>
      <c r="I265" s="24"/>
    </row>
    <row r="266" spans="8:9" ht="14.25" customHeight="1" x14ac:dyDescent="0.3">
      <c r="H266" s="24"/>
      <c r="I266" s="24"/>
    </row>
    <row r="267" spans="8:9" ht="14.25" customHeight="1" x14ac:dyDescent="0.3">
      <c r="H267" s="24"/>
      <c r="I267" s="24"/>
    </row>
    <row r="268" spans="8:9" ht="14.25" customHeight="1" x14ac:dyDescent="0.3">
      <c r="H268" s="24"/>
      <c r="I268" s="24"/>
    </row>
    <row r="269" spans="8:9" ht="14.25" customHeight="1" x14ac:dyDescent="0.3">
      <c r="H269" s="24"/>
      <c r="I269" s="24"/>
    </row>
    <row r="270" spans="8:9" ht="14.25" customHeight="1" x14ac:dyDescent="0.3">
      <c r="H270" s="24"/>
      <c r="I270" s="24"/>
    </row>
    <row r="271" spans="8:9" ht="14.25" customHeight="1" x14ac:dyDescent="0.3">
      <c r="H271" s="24"/>
      <c r="I271" s="24"/>
    </row>
    <row r="272" spans="8:9" ht="14.25" customHeight="1" x14ac:dyDescent="0.3">
      <c r="H272" s="24"/>
      <c r="I272" s="24"/>
    </row>
    <row r="273" spans="8:9" ht="14.25" customHeight="1" x14ac:dyDescent="0.3">
      <c r="H273" s="24"/>
      <c r="I273" s="24"/>
    </row>
    <row r="274" spans="8:9" ht="14.25" customHeight="1" x14ac:dyDescent="0.3">
      <c r="H274" s="24"/>
      <c r="I274" s="24"/>
    </row>
    <row r="275" spans="8:9" ht="14.25" customHeight="1" x14ac:dyDescent="0.3">
      <c r="H275" s="24"/>
      <c r="I275" s="24"/>
    </row>
    <row r="276" spans="8:9" ht="14.25" customHeight="1" x14ac:dyDescent="0.3">
      <c r="H276" s="24"/>
      <c r="I276" s="24"/>
    </row>
    <row r="277" spans="8:9" ht="14.25" customHeight="1" x14ac:dyDescent="0.3">
      <c r="H277" s="24"/>
      <c r="I277" s="24"/>
    </row>
    <row r="278" spans="8:9" ht="14.25" customHeight="1" x14ac:dyDescent="0.3">
      <c r="H278" s="24"/>
      <c r="I278" s="24"/>
    </row>
    <row r="279" spans="8:9" ht="14.25" customHeight="1" x14ac:dyDescent="0.3">
      <c r="H279" s="24"/>
      <c r="I279" s="24"/>
    </row>
    <row r="280" spans="8:9" ht="14.25" customHeight="1" x14ac:dyDescent="0.3">
      <c r="H280" s="24"/>
      <c r="I280" s="24"/>
    </row>
    <row r="281" spans="8:9" ht="14.25" customHeight="1" x14ac:dyDescent="0.3">
      <c r="H281" s="24"/>
      <c r="I281" s="24"/>
    </row>
    <row r="282" spans="8:9" ht="14.25" customHeight="1" x14ac:dyDescent="0.3">
      <c r="H282" s="24"/>
      <c r="I282" s="24"/>
    </row>
    <row r="283" spans="8:9" ht="14.25" customHeight="1" x14ac:dyDescent="0.3">
      <c r="H283" s="24"/>
      <c r="I283" s="24"/>
    </row>
    <row r="284" spans="8:9" ht="14.25" customHeight="1" x14ac:dyDescent="0.3">
      <c r="H284" s="24"/>
      <c r="I284" s="24"/>
    </row>
    <row r="285" spans="8:9" ht="14.25" customHeight="1" x14ac:dyDescent="0.3">
      <c r="H285" s="24"/>
      <c r="I285" s="24"/>
    </row>
    <row r="286" spans="8:9" ht="14.25" customHeight="1" x14ac:dyDescent="0.3">
      <c r="H286" s="24"/>
      <c r="I286" s="24"/>
    </row>
    <row r="287" spans="8:9" ht="14.25" customHeight="1" x14ac:dyDescent="0.3">
      <c r="H287" s="24"/>
      <c r="I287" s="24"/>
    </row>
    <row r="288" spans="8:9" ht="14.25" customHeight="1" x14ac:dyDescent="0.3">
      <c r="H288" s="24"/>
      <c r="I288" s="24"/>
    </row>
    <row r="289" spans="8:9" ht="14.25" customHeight="1" x14ac:dyDescent="0.3">
      <c r="H289" s="24"/>
      <c r="I289" s="24"/>
    </row>
    <row r="290" spans="8:9" ht="14.25" customHeight="1" x14ac:dyDescent="0.3">
      <c r="H290" s="24"/>
      <c r="I290" s="24"/>
    </row>
    <row r="291" spans="8:9" ht="14.25" customHeight="1" x14ac:dyDescent="0.3">
      <c r="H291" s="24"/>
      <c r="I291" s="24"/>
    </row>
    <row r="292" spans="8:9" ht="14.25" customHeight="1" x14ac:dyDescent="0.3">
      <c r="H292" s="24"/>
      <c r="I292" s="24"/>
    </row>
    <row r="293" spans="8:9" ht="14.25" customHeight="1" x14ac:dyDescent="0.3">
      <c r="H293" s="24"/>
      <c r="I293" s="24"/>
    </row>
    <row r="294" spans="8:9" ht="14.25" customHeight="1" x14ac:dyDescent="0.3">
      <c r="H294" s="24"/>
      <c r="I294" s="24"/>
    </row>
    <row r="295" spans="8:9" ht="14.25" customHeight="1" x14ac:dyDescent="0.3">
      <c r="H295" s="24"/>
      <c r="I295" s="24"/>
    </row>
    <row r="296" spans="8:9" ht="14.25" customHeight="1" x14ac:dyDescent="0.3">
      <c r="H296" s="24"/>
      <c r="I296" s="24"/>
    </row>
    <row r="297" spans="8:9" ht="14.25" customHeight="1" x14ac:dyDescent="0.3">
      <c r="H297" s="24"/>
      <c r="I297" s="24"/>
    </row>
    <row r="298" spans="8:9" ht="14.25" customHeight="1" x14ac:dyDescent="0.3">
      <c r="H298" s="24"/>
      <c r="I298" s="24"/>
    </row>
    <row r="299" spans="8:9" ht="14.25" customHeight="1" x14ac:dyDescent="0.3">
      <c r="H299" s="24"/>
      <c r="I299" s="24"/>
    </row>
    <row r="300" spans="8:9" ht="14.25" customHeight="1" x14ac:dyDescent="0.3">
      <c r="H300" s="24"/>
      <c r="I300" s="24"/>
    </row>
    <row r="301" spans="8:9" ht="14.25" customHeight="1" x14ac:dyDescent="0.3">
      <c r="H301" s="24"/>
      <c r="I301" s="24"/>
    </row>
    <row r="302" spans="8:9" ht="14.25" customHeight="1" x14ac:dyDescent="0.3">
      <c r="H302" s="24"/>
      <c r="I302" s="24"/>
    </row>
    <row r="303" spans="8:9" ht="14.25" customHeight="1" x14ac:dyDescent="0.3">
      <c r="H303" s="24"/>
      <c r="I303" s="24"/>
    </row>
    <row r="304" spans="8:9" ht="14.25" customHeight="1" x14ac:dyDescent="0.3">
      <c r="H304" s="24"/>
      <c r="I304" s="24"/>
    </row>
    <row r="305" spans="8:9" ht="14.25" customHeight="1" x14ac:dyDescent="0.3">
      <c r="H305" s="24"/>
      <c r="I305" s="24"/>
    </row>
    <row r="306" spans="8:9" ht="14.25" customHeight="1" x14ac:dyDescent="0.3">
      <c r="H306" s="24"/>
      <c r="I306" s="24"/>
    </row>
    <row r="307" spans="8:9" ht="14.25" customHeight="1" x14ac:dyDescent="0.3">
      <c r="H307" s="24"/>
      <c r="I307" s="24"/>
    </row>
    <row r="308" spans="8:9" ht="14.25" customHeight="1" x14ac:dyDescent="0.3">
      <c r="H308" s="24"/>
      <c r="I308" s="24"/>
    </row>
    <row r="309" spans="8:9" ht="14.25" customHeight="1" x14ac:dyDescent="0.3">
      <c r="H309" s="24"/>
      <c r="I309" s="24"/>
    </row>
    <row r="310" spans="8:9" ht="14.25" customHeight="1" x14ac:dyDescent="0.3">
      <c r="H310" s="24"/>
      <c r="I310" s="24"/>
    </row>
    <row r="311" spans="8:9" ht="14.25" customHeight="1" x14ac:dyDescent="0.3">
      <c r="H311" s="24"/>
      <c r="I311" s="24"/>
    </row>
    <row r="312" spans="8:9" ht="14.25" customHeight="1" x14ac:dyDescent="0.3">
      <c r="H312" s="24"/>
      <c r="I312" s="24"/>
    </row>
    <row r="313" spans="8:9" ht="14.25" customHeight="1" x14ac:dyDescent="0.3">
      <c r="H313" s="24"/>
      <c r="I313" s="24"/>
    </row>
    <row r="314" spans="8:9" ht="14.25" customHeight="1" x14ac:dyDescent="0.3">
      <c r="H314" s="24"/>
      <c r="I314" s="24"/>
    </row>
    <row r="315" spans="8:9" ht="14.25" customHeight="1" x14ac:dyDescent="0.3">
      <c r="H315" s="24"/>
      <c r="I315" s="24"/>
    </row>
    <row r="316" spans="8:9" ht="14.25" customHeight="1" x14ac:dyDescent="0.3">
      <c r="H316" s="24"/>
      <c r="I316" s="24"/>
    </row>
    <row r="317" spans="8:9" ht="14.25" customHeight="1" x14ac:dyDescent="0.3">
      <c r="H317" s="24"/>
      <c r="I317" s="24"/>
    </row>
    <row r="318" spans="8:9" ht="14.25" customHeight="1" x14ac:dyDescent="0.3">
      <c r="H318" s="24"/>
      <c r="I318" s="24"/>
    </row>
    <row r="319" spans="8:9" ht="14.25" customHeight="1" x14ac:dyDescent="0.3">
      <c r="H319" s="24"/>
      <c r="I319" s="24"/>
    </row>
    <row r="320" spans="8:9" ht="14.25" customHeight="1" x14ac:dyDescent="0.3">
      <c r="H320" s="24"/>
      <c r="I320" s="24"/>
    </row>
    <row r="321" spans="8:9" ht="14.25" customHeight="1" x14ac:dyDescent="0.3">
      <c r="H321" s="24"/>
      <c r="I321" s="24"/>
    </row>
    <row r="322" spans="8:9" ht="14.25" customHeight="1" x14ac:dyDescent="0.3">
      <c r="H322" s="24"/>
      <c r="I322" s="24"/>
    </row>
    <row r="323" spans="8:9" ht="14.25" customHeight="1" x14ac:dyDescent="0.3">
      <c r="H323" s="24"/>
      <c r="I323" s="24"/>
    </row>
    <row r="324" spans="8:9" ht="14.25" customHeight="1" x14ac:dyDescent="0.3">
      <c r="H324" s="24"/>
      <c r="I324" s="24"/>
    </row>
    <row r="325" spans="8:9" ht="14.25" customHeight="1" x14ac:dyDescent="0.3">
      <c r="H325" s="24"/>
      <c r="I325" s="24"/>
    </row>
    <row r="326" spans="8:9" ht="14.25" customHeight="1" x14ac:dyDescent="0.3">
      <c r="H326" s="24"/>
      <c r="I326" s="24"/>
    </row>
    <row r="327" spans="8:9" ht="14.25" customHeight="1" x14ac:dyDescent="0.3">
      <c r="H327" s="24"/>
      <c r="I327" s="24"/>
    </row>
    <row r="328" spans="8:9" ht="14.25" customHeight="1" x14ac:dyDescent="0.3">
      <c r="H328" s="24"/>
      <c r="I328" s="24"/>
    </row>
    <row r="329" spans="8:9" ht="14.25" customHeight="1" x14ac:dyDescent="0.3">
      <c r="H329" s="24"/>
      <c r="I329" s="24"/>
    </row>
    <row r="330" spans="8:9" ht="14.25" customHeight="1" x14ac:dyDescent="0.3">
      <c r="H330" s="24"/>
      <c r="I330" s="24"/>
    </row>
    <row r="331" spans="8:9" ht="14.25" customHeight="1" x14ac:dyDescent="0.3">
      <c r="H331" s="24"/>
      <c r="I331" s="24"/>
    </row>
    <row r="332" spans="8:9" ht="14.25" customHeight="1" x14ac:dyDescent="0.3">
      <c r="H332" s="24"/>
      <c r="I332" s="24"/>
    </row>
    <row r="333" spans="8:9" ht="14.25" customHeight="1" x14ac:dyDescent="0.3">
      <c r="H333" s="24"/>
      <c r="I333" s="24"/>
    </row>
    <row r="334" spans="8:9" ht="14.25" customHeight="1" x14ac:dyDescent="0.3">
      <c r="H334" s="24"/>
      <c r="I334" s="24"/>
    </row>
    <row r="335" spans="8:9" ht="14.25" customHeight="1" x14ac:dyDescent="0.3">
      <c r="H335" s="24"/>
      <c r="I335" s="24"/>
    </row>
    <row r="336" spans="8:9" ht="14.25" customHeight="1" x14ac:dyDescent="0.3">
      <c r="H336" s="24"/>
      <c r="I336" s="24"/>
    </row>
    <row r="337" spans="8:9" ht="14.25" customHeight="1" x14ac:dyDescent="0.3">
      <c r="H337" s="24"/>
      <c r="I337" s="24"/>
    </row>
    <row r="338" spans="8:9" ht="14.25" customHeight="1" x14ac:dyDescent="0.3">
      <c r="H338" s="24"/>
      <c r="I338" s="24"/>
    </row>
    <row r="339" spans="8:9" ht="14.25" customHeight="1" x14ac:dyDescent="0.3">
      <c r="H339" s="24"/>
      <c r="I339" s="24"/>
    </row>
    <row r="340" spans="8:9" ht="14.25" customHeight="1" x14ac:dyDescent="0.3">
      <c r="H340" s="24"/>
      <c r="I340" s="24"/>
    </row>
    <row r="341" spans="8:9" ht="14.25" customHeight="1" x14ac:dyDescent="0.3">
      <c r="H341" s="24"/>
      <c r="I341" s="24"/>
    </row>
    <row r="342" spans="8:9" ht="14.25" customHeight="1" x14ac:dyDescent="0.3">
      <c r="H342" s="24"/>
      <c r="I342" s="24"/>
    </row>
    <row r="343" spans="8:9" ht="14.25" customHeight="1" x14ac:dyDescent="0.3">
      <c r="H343" s="24"/>
      <c r="I343" s="24"/>
    </row>
    <row r="344" spans="8:9" ht="14.25" customHeight="1" x14ac:dyDescent="0.3">
      <c r="H344" s="24"/>
      <c r="I344" s="24"/>
    </row>
    <row r="345" spans="8:9" ht="14.25" customHeight="1" x14ac:dyDescent="0.3">
      <c r="H345" s="24"/>
      <c r="I345" s="24"/>
    </row>
    <row r="346" spans="8:9" ht="14.25" customHeight="1" x14ac:dyDescent="0.3">
      <c r="H346" s="24"/>
      <c r="I346" s="24"/>
    </row>
    <row r="347" spans="8:9" ht="14.25" customHeight="1" x14ac:dyDescent="0.3">
      <c r="H347" s="24"/>
      <c r="I347" s="24"/>
    </row>
    <row r="348" spans="8:9" ht="14.25" customHeight="1" x14ac:dyDescent="0.3">
      <c r="H348" s="24"/>
      <c r="I348" s="24"/>
    </row>
    <row r="349" spans="8:9" ht="14.25" customHeight="1" x14ac:dyDescent="0.3">
      <c r="H349" s="24"/>
      <c r="I349" s="24"/>
    </row>
    <row r="350" spans="8:9" ht="14.25" customHeight="1" x14ac:dyDescent="0.3">
      <c r="H350" s="24"/>
      <c r="I350" s="24"/>
    </row>
    <row r="351" spans="8:9" ht="14.25" customHeight="1" x14ac:dyDescent="0.3">
      <c r="H351" s="24"/>
      <c r="I351" s="24"/>
    </row>
    <row r="352" spans="8:9" ht="14.25" customHeight="1" x14ac:dyDescent="0.3">
      <c r="H352" s="24"/>
      <c r="I352" s="24"/>
    </row>
    <row r="353" spans="8:9" ht="14.25" customHeight="1" x14ac:dyDescent="0.3">
      <c r="H353" s="24"/>
      <c r="I353" s="24"/>
    </row>
    <row r="354" spans="8:9" ht="14.25" customHeight="1" x14ac:dyDescent="0.3">
      <c r="H354" s="24"/>
      <c r="I354" s="24"/>
    </row>
    <row r="355" spans="8:9" ht="14.25" customHeight="1" x14ac:dyDescent="0.3">
      <c r="H355" s="24"/>
      <c r="I355" s="24"/>
    </row>
    <row r="356" spans="8:9" ht="14.25" customHeight="1" x14ac:dyDescent="0.3">
      <c r="H356" s="24"/>
      <c r="I356" s="24"/>
    </row>
    <row r="357" spans="8:9" ht="14.25" customHeight="1" x14ac:dyDescent="0.3">
      <c r="H357" s="24"/>
      <c r="I357" s="24"/>
    </row>
    <row r="358" spans="8:9" ht="14.25" customHeight="1" x14ac:dyDescent="0.3">
      <c r="H358" s="24"/>
      <c r="I358" s="24"/>
    </row>
    <row r="359" spans="8:9" ht="14.25" customHeight="1" x14ac:dyDescent="0.3">
      <c r="H359" s="24"/>
      <c r="I359" s="24"/>
    </row>
    <row r="360" spans="8:9" ht="14.25" customHeight="1" x14ac:dyDescent="0.3">
      <c r="H360" s="24"/>
      <c r="I360" s="24"/>
    </row>
    <row r="361" spans="8:9" ht="14.25" customHeight="1" x14ac:dyDescent="0.3">
      <c r="H361" s="24"/>
      <c r="I361" s="24"/>
    </row>
    <row r="362" spans="8:9" ht="14.25" customHeight="1" x14ac:dyDescent="0.3">
      <c r="H362" s="24"/>
      <c r="I362" s="24"/>
    </row>
    <row r="363" spans="8:9" ht="14.25" customHeight="1" x14ac:dyDescent="0.3">
      <c r="H363" s="24"/>
      <c r="I363" s="24"/>
    </row>
    <row r="364" spans="8:9" ht="14.25" customHeight="1" x14ac:dyDescent="0.3">
      <c r="H364" s="24"/>
      <c r="I364" s="24"/>
    </row>
    <row r="365" spans="8:9" ht="14.25" customHeight="1" x14ac:dyDescent="0.3">
      <c r="H365" s="24"/>
      <c r="I365" s="24"/>
    </row>
    <row r="366" spans="8:9" ht="14.25" customHeight="1" x14ac:dyDescent="0.3">
      <c r="H366" s="24"/>
      <c r="I366" s="24"/>
    </row>
    <row r="367" spans="8:9" ht="14.25" customHeight="1" x14ac:dyDescent="0.3">
      <c r="H367" s="24"/>
      <c r="I367" s="24"/>
    </row>
    <row r="368" spans="8:9" ht="14.25" customHeight="1" x14ac:dyDescent="0.3">
      <c r="H368" s="24"/>
      <c r="I368" s="24"/>
    </row>
    <row r="369" spans="8:9" ht="14.25" customHeight="1" x14ac:dyDescent="0.3">
      <c r="H369" s="24"/>
      <c r="I369" s="24"/>
    </row>
    <row r="370" spans="8:9" ht="14.25" customHeight="1" x14ac:dyDescent="0.3">
      <c r="H370" s="24"/>
      <c r="I370" s="24"/>
    </row>
    <row r="371" spans="8:9" ht="14.25" customHeight="1" x14ac:dyDescent="0.3">
      <c r="H371" s="24"/>
      <c r="I371" s="24"/>
    </row>
    <row r="372" spans="8:9" ht="14.25" customHeight="1" x14ac:dyDescent="0.3">
      <c r="H372" s="24"/>
      <c r="I372" s="24"/>
    </row>
    <row r="373" spans="8:9" ht="14.25" customHeight="1" x14ac:dyDescent="0.3">
      <c r="H373" s="24"/>
      <c r="I373" s="24"/>
    </row>
    <row r="374" spans="8:9" ht="14.25" customHeight="1" x14ac:dyDescent="0.3">
      <c r="H374" s="24"/>
      <c r="I374" s="24"/>
    </row>
    <row r="375" spans="8:9" ht="14.25" customHeight="1" x14ac:dyDescent="0.3">
      <c r="H375" s="24"/>
      <c r="I375" s="24"/>
    </row>
    <row r="376" spans="8:9" ht="14.25" customHeight="1" x14ac:dyDescent="0.3">
      <c r="H376" s="24"/>
      <c r="I376" s="24"/>
    </row>
    <row r="377" spans="8:9" ht="14.25" customHeight="1" x14ac:dyDescent="0.3">
      <c r="H377" s="24"/>
      <c r="I377" s="24"/>
    </row>
    <row r="378" spans="8:9" ht="14.25" customHeight="1" x14ac:dyDescent="0.3">
      <c r="H378" s="24"/>
      <c r="I378" s="24"/>
    </row>
    <row r="379" spans="8:9" ht="14.25" customHeight="1" x14ac:dyDescent="0.3">
      <c r="H379" s="24"/>
      <c r="I379" s="24"/>
    </row>
    <row r="380" spans="8:9" ht="14.25" customHeight="1" x14ac:dyDescent="0.3">
      <c r="H380" s="24"/>
      <c r="I380" s="24"/>
    </row>
    <row r="381" spans="8:9" ht="14.25" customHeight="1" x14ac:dyDescent="0.3">
      <c r="H381" s="24"/>
      <c r="I381" s="24"/>
    </row>
    <row r="382" spans="8:9" ht="14.25" customHeight="1" x14ac:dyDescent="0.3">
      <c r="H382" s="24"/>
      <c r="I382" s="24"/>
    </row>
    <row r="383" spans="8:9" ht="14.25" customHeight="1" x14ac:dyDescent="0.3">
      <c r="H383" s="24"/>
      <c r="I383" s="24"/>
    </row>
    <row r="384" spans="8:9" ht="14.25" customHeight="1" x14ac:dyDescent="0.3">
      <c r="H384" s="24"/>
      <c r="I384" s="24"/>
    </row>
    <row r="385" spans="8:9" ht="14.25" customHeight="1" x14ac:dyDescent="0.3">
      <c r="H385" s="24"/>
      <c r="I385" s="24"/>
    </row>
    <row r="386" spans="8:9" ht="14.25" customHeight="1" x14ac:dyDescent="0.3">
      <c r="H386" s="24"/>
      <c r="I386" s="24"/>
    </row>
    <row r="387" spans="8:9" ht="14.25" customHeight="1" x14ac:dyDescent="0.3">
      <c r="H387" s="24"/>
      <c r="I387" s="24"/>
    </row>
    <row r="388" spans="8:9" ht="14.25" customHeight="1" x14ac:dyDescent="0.3">
      <c r="H388" s="24"/>
      <c r="I388" s="24"/>
    </row>
    <row r="389" spans="8:9" ht="14.25" customHeight="1" x14ac:dyDescent="0.3">
      <c r="H389" s="24"/>
      <c r="I389" s="24"/>
    </row>
    <row r="390" spans="8:9" ht="14.25" customHeight="1" x14ac:dyDescent="0.3">
      <c r="H390" s="24"/>
      <c r="I390" s="24"/>
    </row>
    <row r="391" spans="8:9" ht="14.25" customHeight="1" x14ac:dyDescent="0.3">
      <c r="H391" s="24"/>
      <c r="I391" s="24"/>
    </row>
    <row r="392" spans="8:9" ht="14.25" customHeight="1" x14ac:dyDescent="0.3">
      <c r="H392" s="24"/>
      <c r="I392" s="24"/>
    </row>
    <row r="393" spans="8:9" ht="14.25" customHeight="1" x14ac:dyDescent="0.3">
      <c r="H393" s="24"/>
      <c r="I393" s="24"/>
    </row>
    <row r="394" spans="8:9" ht="14.25" customHeight="1" x14ac:dyDescent="0.3">
      <c r="H394" s="24"/>
      <c r="I394" s="24"/>
    </row>
    <row r="395" spans="8:9" ht="14.25" customHeight="1" x14ac:dyDescent="0.3">
      <c r="H395" s="24"/>
      <c r="I395" s="24"/>
    </row>
    <row r="396" spans="8:9" ht="14.25" customHeight="1" x14ac:dyDescent="0.3">
      <c r="H396" s="24"/>
      <c r="I396" s="24"/>
    </row>
    <row r="397" spans="8:9" ht="14.25" customHeight="1" x14ac:dyDescent="0.3">
      <c r="H397" s="24"/>
      <c r="I397" s="24"/>
    </row>
    <row r="398" spans="8:9" ht="14.25" customHeight="1" x14ac:dyDescent="0.3">
      <c r="H398" s="24"/>
      <c r="I398" s="24"/>
    </row>
    <row r="399" spans="8:9" ht="14.25" customHeight="1" x14ac:dyDescent="0.3">
      <c r="H399" s="24"/>
      <c r="I399" s="24"/>
    </row>
    <row r="400" spans="8:9" ht="14.25" customHeight="1" x14ac:dyDescent="0.3">
      <c r="H400" s="24"/>
      <c r="I400" s="24"/>
    </row>
    <row r="401" spans="8:9" ht="14.25" customHeight="1" x14ac:dyDescent="0.3">
      <c r="H401" s="24"/>
      <c r="I401" s="24"/>
    </row>
    <row r="402" spans="8:9" ht="14.25" customHeight="1" x14ac:dyDescent="0.3">
      <c r="H402" s="24"/>
      <c r="I402" s="24"/>
    </row>
    <row r="403" spans="8:9" ht="14.25" customHeight="1" x14ac:dyDescent="0.3">
      <c r="H403" s="24"/>
      <c r="I403" s="24"/>
    </row>
    <row r="404" spans="8:9" ht="14.25" customHeight="1" x14ac:dyDescent="0.3">
      <c r="H404" s="24"/>
      <c r="I404" s="24"/>
    </row>
    <row r="405" spans="8:9" ht="14.25" customHeight="1" x14ac:dyDescent="0.3">
      <c r="H405" s="24"/>
      <c r="I405" s="24"/>
    </row>
    <row r="406" spans="8:9" ht="14.25" customHeight="1" x14ac:dyDescent="0.3">
      <c r="H406" s="24"/>
      <c r="I406" s="24"/>
    </row>
    <row r="407" spans="8:9" ht="14.25" customHeight="1" x14ac:dyDescent="0.3">
      <c r="H407" s="24"/>
      <c r="I407" s="24"/>
    </row>
    <row r="408" spans="8:9" ht="14.25" customHeight="1" x14ac:dyDescent="0.3">
      <c r="H408" s="24"/>
      <c r="I408" s="24"/>
    </row>
    <row r="409" spans="8:9" ht="14.25" customHeight="1" x14ac:dyDescent="0.3">
      <c r="H409" s="24"/>
      <c r="I409" s="24"/>
    </row>
    <row r="410" spans="8:9" ht="14.25" customHeight="1" x14ac:dyDescent="0.3">
      <c r="H410" s="24"/>
      <c r="I410" s="24"/>
    </row>
    <row r="411" spans="8:9" ht="14.25" customHeight="1" x14ac:dyDescent="0.3">
      <c r="H411" s="24"/>
      <c r="I411" s="24"/>
    </row>
    <row r="412" spans="8:9" ht="14.25" customHeight="1" x14ac:dyDescent="0.3">
      <c r="H412" s="24"/>
      <c r="I412" s="24"/>
    </row>
    <row r="413" spans="8:9" ht="14.25" customHeight="1" x14ac:dyDescent="0.3">
      <c r="H413" s="24"/>
      <c r="I413" s="24"/>
    </row>
    <row r="414" spans="8:9" ht="14.25" customHeight="1" x14ac:dyDescent="0.3">
      <c r="H414" s="24"/>
      <c r="I414" s="24"/>
    </row>
    <row r="415" spans="8:9" ht="14.25" customHeight="1" x14ac:dyDescent="0.3">
      <c r="H415" s="24"/>
      <c r="I415" s="24"/>
    </row>
    <row r="416" spans="8:9" ht="14.25" customHeight="1" x14ac:dyDescent="0.3">
      <c r="H416" s="24"/>
      <c r="I416" s="24"/>
    </row>
    <row r="417" spans="8:9" ht="14.25" customHeight="1" x14ac:dyDescent="0.3">
      <c r="H417" s="24"/>
      <c r="I417" s="24"/>
    </row>
    <row r="418" spans="8:9" ht="14.25" customHeight="1" x14ac:dyDescent="0.3">
      <c r="H418" s="24"/>
      <c r="I418" s="24"/>
    </row>
    <row r="419" spans="8:9" ht="14.25" customHeight="1" x14ac:dyDescent="0.3">
      <c r="H419" s="24"/>
      <c r="I419" s="24"/>
    </row>
    <row r="420" spans="8:9" ht="14.25" customHeight="1" x14ac:dyDescent="0.3">
      <c r="H420" s="24"/>
      <c r="I420" s="24"/>
    </row>
    <row r="421" spans="8:9" ht="14.25" customHeight="1" x14ac:dyDescent="0.3">
      <c r="H421" s="24"/>
      <c r="I421" s="24"/>
    </row>
    <row r="422" spans="8:9" ht="14.25" customHeight="1" x14ac:dyDescent="0.3">
      <c r="H422" s="24"/>
      <c r="I422" s="24"/>
    </row>
    <row r="423" spans="8:9" ht="14.25" customHeight="1" x14ac:dyDescent="0.3">
      <c r="H423" s="24"/>
      <c r="I423" s="24"/>
    </row>
    <row r="424" spans="8:9" ht="14.25" customHeight="1" x14ac:dyDescent="0.3">
      <c r="H424" s="24"/>
      <c r="I424" s="24"/>
    </row>
    <row r="425" spans="8:9" ht="14.25" customHeight="1" x14ac:dyDescent="0.3">
      <c r="H425" s="24"/>
      <c r="I425" s="24"/>
    </row>
    <row r="426" spans="8:9" ht="14.25" customHeight="1" x14ac:dyDescent="0.3">
      <c r="H426" s="24"/>
      <c r="I426" s="24"/>
    </row>
    <row r="427" spans="8:9" ht="14.25" customHeight="1" x14ac:dyDescent="0.3">
      <c r="H427" s="24"/>
      <c r="I427" s="24"/>
    </row>
    <row r="428" spans="8:9" ht="14.25" customHeight="1" x14ac:dyDescent="0.3">
      <c r="H428" s="24"/>
      <c r="I428" s="24"/>
    </row>
    <row r="429" spans="8:9" ht="14.25" customHeight="1" x14ac:dyDescent="0.3">
      <c r="H429" s="24"/>
      <c r="I429" s="24"/>
    </row>
    <row r="430" spans="8:9" ht="14.25" customHeight="1" x14ac:dyDescent="0.3">
      <c r="H430" s="24"/>
      <c r="I430" s="24"/>
    </row>
    <row r="431" spans="8:9" ht="14.25" customHeight="1" x14ac:dyDescent="0.3">
      <c r="H431" s="24"/>
      <c r="I431" s="24"/>
    </row>
    <row r="432" spans="8:9" ht="14.25" customHeight="1" x14ac:dyDescent="0.3">
      <c r="H432" s="24"/>
      <c r="I432" s="24"/>
    </row>
    <row r="433" spans="8:9" ht="14.25" customHeight="1" x14ac:dyDescent="0.3">
      <c r="H433" s="24"/>
      <c r="I433" s="24"/>
    </row>
    <row r="434" spans="8:9" ht="14.25" customHeight="1" x14ac:dyDescent="0.3">
      <c r="H434" s="24"/>
      <c r="I434" s="24"/>
    </row>
    <row r="435" spans="8:9" ht="14.25" customHeight="1" x14ac:dyDescent="0.3">
      <c r="H435" s="24"/>
      <c r="I435" s="24"/>
    </row>
    <row r="436" spans="8:9" ht="14.25" customHeight="1" x14ac:dyDescent="0.3">
      <c r="H436" s="24"/>
      <c r="I436" s="24"/>
    </row>
    <row r="437" spans="8:9" ht="14.25" customHeight="1" x14ac:dyDescent="0.3">
      <c r="H437" s="24"/>
      <c r="I437" s="24"/>
    </row>
    <row r="438" spans="8:9" ht="14.25" customHeight="1" x14ac:dyDescent="0.3">
      <c r="H438" s="24"/>
      <c r="I438" s="24"/>
    </row>
    <row r="439" spans="8:9" ht="14.25" customHeight="1" x14ac:dyDescent="0.3">
      <c r="H439" s="24"/>
      <c r="I439" s="24"/>
    </row>
    <row r="440" spans="8:9" ht="14.25" customHeight="1" x14ac:dyDescent="0.3">
      <c r="H440" s="24"/>
      <c r="I440" s="24"/>
    </row>
    <row r="441" spans="8:9" ht="14.25" customHeight="1" x14ac:dyDescent="0.3">
      <c r="H441" s="24"/>
      <c r="I441" s="24"/>
    </row>
    <row r="442" spans="8:9" ht="14.25" customHeight="1" x14ac:dyDescent="0.3">
      <c r="H442" s="24"/>
      <c r="I442" s="24"/>
    </row>
    <row r="443" spans="8:9" ht="14.25" customHeight="1" x14ac:dyDescent="0.3">
      <c r="H443" s="24"/>
      <c r="I443" s="24"/>
    </row>
    <row r="444" spans="8:9" ht="14.25" customHeight="1" x14ac:dyDescent="0.3">
      <c r="H444" s="24"/>
      <c r="I444" s="24"/>
    </row>
    <row r="445" spans="8:9" ht="14.25" customHeight="1" x14ac:dyDescent="0.3">
      <c r="H445" s="24"/>
      <c r="I445" s="24"/>
    </row>
    <row r="446" spans="8:9" ht="14.25" customHeight="1" x14ac:dyDescent="0.3">
      <c r="H446" s="24"/>
      <c r="I446" s="24"/>
    </row>
    <row r="447" spans="8:9" ht="14.25" customHeight="1" x14ac:dyDescent="0.3">
      <c r="H447" s="24"/>
      <c r="I447" s="24"/>
    </row>
    <row r="448" spans="8:9" ht="14.25" customHeight="1" x14ac:dyDescent="0.3">
      <c r="H448" s="24"/>
      <c r="I448" s="24"/>
    </row>
    <row r="449" spans="8:9" ht="14.25" customHeight="1" x14ac:dyDescent="0.3">
      <c r="H449" s="24"/>
      <c r="I449" s="24"/>
    </row>
    <row r="450" spans="8:9" ht="14.25" customHeight="1" x14ac:dyDescent="0.3">
      <c r="H450" s="24"/>
      <c r="I450" s="24"/>
    </row>
    <row r="451" spans="8:9" ht="14.25" customHeight="1" x14ac:dyDescent="0.3">
      <c r="H451" s="24"/>
      <c r="I451" s="24"/>
    </row>
    <row r="452" spans="8:9" ht="14.25" customHeight="1" x14ac:dyDescent="0.3">
      <c r="H452" s="24"/>
      <c r="I452" s="24"/>
    </row>
    <row r="453" spans="8:9" ht="14.25" customHeight="1" x14ac:dyDescent="0.3">
      <c r="H453" s="24"/>
      <c r="I453" s="24"/>
    </row>
    <row r="454" spans="8:9" ht="14.25" customHeight="1" x14ac:dyDescent="0.3">
      <c r="H454" s="24"/>
      <c r="I454" s="24"/>
    </row>
    <row r="455" spans="8:9" ht="14.25" customHeight="1" x14ac:dyDescent="0.3">
      <c r="H455" s="24"/>
      <c r="I455" s="24"/>
    </row>
    <row r="456" spans="8:9" ht="14.25" customHeight="1" x14ac:dyDescent="0.3">
      <c r="H456" s="24"/>
      <c r="I456" s="24"/>
    </row>
    <row r="457" spans="8:9" ht="14.25" customHeight="1" x14ac:dyDescent="0.3">
      <c r="H457" s="24"/>
      <c r="I457" s="24"/>
    </row>
    <row r="458" spans="8:9" ht="14.25" customHeight="1" x14ac:dyDescent="0.3">
      <c r="H458" s="24"/>
      <c r="I458" s="24"/>
    </row>
    <row r="459" spans="8:9" ht="14.25" customHeight="1" x14ac:dyDescent="0.3">
      <c r="H459" s="24"/>
      <c r="I459" s="24"/>
    </row>
    <row r="460" spans="8:9" ht="14.25" customHeight="1" x14ac:dyDescent="0.3">
      <c r="H460" s="24"/>
      <c r="I460" s="24"/>
    </row>
    <row r="461" spans="8:9" ht="14.25" customHeight="1" x14ac:dyDescent="0.3">
      <c r="H461" s="24"/>
      <c r="I461" s="24"/>
    </row>
    <row r="462" spans="8:9" ht="14.25" customHeight="1" x14ac:dyDescent="0.3">
      <c r="H462" s="24"/>
      <c r="I462" s="24"/>
    </row>
    <row r="463" spans="8:9" ht="14.25" customHeight="1" x14ac:dyDescent="0.3">
      <c r="H463" s="24"/>
      <c r="I463" s="24"/>
    </row>
    <row r="464" spans="8:9" ht="14.25" customHeight="1" x14ac:dyDescent="0.3">
      <c r="H464" s="24"/>
      <c r="I464" s="24"/>
    </row>
    <row r="465" spans="8:9" ht="14.25" customHeight="1" x14ac:dyDescent="0.3">
      <c r="H465" s="24"/>
      <c r="I465" s="24"/>
    </row>
    <row r="466" spans="8:9" ht="14.25" customHeight="1" x14ac:dyDescent="0.3">
      <c r="H466" s="24"/>
      <c r="I466" s="24"/>
    </row>
    <row r="467" spans="8:9" ht="14.25" customHeight="1" x14ac:dyDescent="0.3">
      <c r="H467" s="24"/>
      <c r="I467" s="24"/>
    </row>
    <row r="468" spans="8:9" ht="14.25" customHeight="1" x14ac:dyDescent="0.3">
      <c r="H468" s="24"/>
      <c r="I468" s="24"/>
    </row>
    <row r="469" spans="8:9" ht="14.25" customHeight="1" x14ac:dyDescent="0.3">
      <c r="H469" s="24"/>
      <c r="I469" s="24"/>
    </row>
    <row r="470" spans="8:9" ht="14.25" customHeight="1" x14ac:dyDescent="0.3">
      <c r="H470" s="24"/>
      <c r="I470" s="24"/>
    </row>
    <row r="471" spans="8:9" ht="14.25" customHeight="1" x14ac:dyDescent="0.3">
      <c r="H471" s="24"/>
      <c r="I471" s="24"/>
    </row>
    <row r="472" spans="8:9" ht="14.25" customHeight="1" x14ac:dyDescent="0.3">
      <c r="H472" s="24"/>
      <c r="I472" s="24"/>
    </row>
    <row r="473" spans="8:9" ht="14.25" customHeight="1" x14ac:dyDescent="0.3">
      <c r="H473" s="24"/>
      <c r="I473" s="24"/>
    </row>
    <row r="474" spans="8:9" ht="14.25" customHeight="1" x14ac:dyDescent="0.3">
      <c r="H474" s="24"/>
      <c r="I474" s="24"/>
    </row>
    <row r="475" spans="8:9" ht="14.25" customHeight="1" x14ac:dyDescent="0.3">
      <c r="H475" s="24"/>
      <c r="I475" s="24"/>
    </row>
    <row r="476" spans="8:9" ht="14.25" customHeight="1" x14ac:dyDescent="0.3">
      <c r="H476" s="24"/>
      <c r="I476" s="24"/>
    </row>
    <row r="477" spans="8:9" ht="14.25" customHeight="1" x14ac:dyDescent="0.3">
      <c r="H477" s="24"/>
      <c r="I477" s="24"/>
    </row>
    <row r="478" spans="8:9" ht="14.25" customHeight="1" x14ac:dyDescent="0.3">
      <c r="H478" s="24"/>
      <c r="I478" s="24"/>
    </row>
    <row r="479" spans="8:9" ht="14.25" customHeight="1" x14ac:dyDescent="0.3">
      <c r="H479" s="24"/>
      <c r="I479" s="24"/>
    </row>
    <row r="480" spans="8:9" ht="14.25" customHeight="1" x14ac:dyDescent="0.3">
      <c r="H480" s="24"/>
      <c r="I480" s="24"/>
    </row>
    <row r="481" spans="8:9" ht="14.25" customHeight="1" x14ac:dyDescent="0.3">
      <c r="H481" s="24"/>
      <c r="I481" s="24"/>
    </row>
    <row r="482" spans="8:9" ht="14.25" customHeight="1" x14ac:dyDescent="0.3">
      <c r="H482" s="24"/>
      <c r="I482" s="24"/>
    </row>
    <row r="483" spans="8:9" ht="14.25" customHeight="1" x14ac:dyDescent="0.3">
      <c r="H483" s="24"/>
      <c r="I483" s="24"/>
    </row>
    <row r="484" spans="8:9" ht="14.25" customHeight="1" x14ac:dyDescent="0.3">
      <c r="H484" s="24"/>
      <c r="I484" s="24"/>
    </row>
    <row r="485" spans="8:9" ht="14.25" customHeight="1" x14ac:dyDescent="0.3">
      <c r="H485" s="24"/>
      <c r="I485" s="24"/>
    </row>
    <row r="486" spans="8:9" ht="14.25" customHeight="1" x14ac:dyDescent="0.3">
      <c r="H486" s="24"/>
      <c r="I486" s="24"/>
    </row>
    <row r="487" spans="8:9" ht="14.25" customHeight="1" x14ac:dyDescent="0.3">
      <c r="H487" s="24"/>
      <c r="I487" s="24"/>
    </row>
    <row r="488" spans="8:9" ht="14.25" customHeight="1" x14ac:dyDescent="0.3">
      <c r="H488" s="24"/>
      <c r="I488" s="24"/>
    </row>
    <row r="489" spans="8:9" ht="14.25" customHeight="1" x14ac:dyDescent="0.3">
      <c r="H489" s="24"/>
      <c r="I489" s="24"/>
    </row>
    <row r="490" spans="8:9" ht="14.25" customHeight="1" x14ac:dyDescent="0.3">
      <c r="H490" s="24"/>
      <c r="I490" s="24"/>
    </row>
    <row r="491" spans="8:9" ht="14.25" customHeight="1" x14ac:dyDescent="0.3">
      <c r="H491" s="24"/>
      <c r="I491" s="24"/>
    </row>
    <row r="492" spans="8:9" ht="14.25" customHeight="1" x14ac:dyDescent="0.3">
      <c r="H492" s="24"/>
      <c r="I492" s="24"/>
    </row>
    <row r="493" spans="8:9" ht="14.25" customHeight="1" x14ac:dyDescent="0.3">
      <c r="H493" s="24"/>
      <c r="I493" s="24"/>
    </row>
    <row r="494" spans="8:9" ht="14.25" customHeight="1" x14ac:dyDescent="0.3">
      <c r="H494" s="24"/>
      <c r="I494" s="24"/>
    </row>
    <row r="495" spans="8:9" ht="14.25" customHeight="1" x14ac:dyDescent="0.3">
      <c r="H495" s="24"/>
      <c r="I495" s="24"/>
    </row>
    <row r="496" spans="8:9" ht="14.25" customHeight="1" x14ac:dyDescent="0.3">
      <c r="H496" s="24"/>
      <c r="I496" s="24"/>
    </row>
    <row r="497" spans="8:9" ht="14.25" customHeight="1" x14ac:dyDescent="0.3">
      <c r="H497" s="24"/>
      <c r="I497" s="24"/>
    </row>
    <row r="498" spans="8:9" ht="14.25" customHeight="1" x14ac:dyDescent="0.3">
      <c r="H498" s="24"/>
      <c r="I498" s="24"/>
    </row>
    <row r="499" spans="8:9" ht="14.25" customHeight="1" x14ac:dyDescent="0.3">
      <c r="H499" s="24"/>
      <c r="I499" s="24"/>
    </row>
    <row r="500" spans="8:9" ht="14.25" customHeight="1" x14ac:dyDescent="0.3">
      <c r="H500" s="24"/>
      <c r="I500" s="24"/>
    </row>
    <row r="501" spans="8:9" ht="14.25" customHeight="1" x14ac:dyDescent="0.3">
      <c r="H501" s="24"/>
      <c r="I501" s="24"/>
    </row>
    <row r="502" spans="8:9" ht="14.25" customHeight="1" x14ac:dyDescent="0.3">
      <c r="H502" s="24"/>
      <c r="I502" s="24"/>
    </row>
    <row r="503" spans="8:9" ht="14.25" customHeight="1" x14ac:dyDescent="0.3">
      <c r="H503" s="24"/>
      <c r="I503" s="24"/>
    </row>
    <row r="504" spans="8:9" ht="14.25" customHeight="1" x14ac:dyDescent="0.3">
      <c r="H504" s="24"/>
      <c r="I504" s="24"/>
    </row>
    <row r="505" spans="8:9" ht="14.25" customHeight="1" x14ac:dyDescent="0.3">
      <c r="H505" s="24"/>
      <c r="I505" s="24"/>
    </row>
    <row r="506" spans="8:9" ht="14.25" customHeight="1" x14ac:dyDescent="0.3">
      <c r="H506" s="24"/>
      <c r="I506" s="24"/>
    </row>
    <row r="507" spans="8:9" ht="14.25" customHeight="1" x14ac:dyDescent="0.3">
      <c r="H507" s="24"/>
      <c r="I507" s="24"/>
    </row>
    <row r="508" spans="8:9" ht="14.25" customHeight="1" x14ac:dyDescent="0.3">
      <c r="H508" s="24"/>
      <c r="I508" s="24"/>
    </row>
    <row r="509" spans="8:9" ht="14.25" customHeight="1" x14ac:dyDescent="0.3">
      <c r="H509" s="24"/>
      <c r="I509" s="24"/>
    </row>
    <row r="510" spans="8:9" ht="14.25" customHeight="1" x14ac:dyDescent="0.3">
      <c r="H510" s="24"/>
      <c r="I510" s="24"/>
    </row>
    <row r="511" spans="8:9" ht="14.25" customHeight="1" x14ac:dyDescent="0.3">
      <c r="H511" s="24"/>
      <c r="I511" s="24"/>
    </row>
    <row r="512" spans="8:9" ht="14.25" customHeight="1" x14ac:dyDescent="0.3">
      <c r="H512" s="24"/>
      <c r="I512" s="24"/>
    </row>
    <row r="513" spans="8:9" ht="14.25" customHeight="1" x14ac:dyDescent="0.3">
      <c r="H513" s="24"/>
      <c r="I513" s="24"/>
    </row>
    <row r="514" spans="8:9" ht="14.25" customHeight="1" x14ac:dyDescent="0.3">
      <c r="H514" s="24"/>
      <c r="I514" s="24"/>
    </row>
    <row r="515" spans="8:9" ht="14.25" customHeight="1" x14ac:dyDescent="0.3">
      <c r="H515" s="24"/>
      <c r="I515" s="24"/>
    </row>
    <row r="516" spans="8:9" ht="14.25" customHeight="1" x14ac:dyDescent="0.3">
      <c r="H516" s="24"/>
      <c r="I516" s="24"/>
    </row>
    <row r="517" spans="8:9" ht="14.25" customHeight="1" x14ac:dyDescent="0.3">
      <c r="H517" s="24"/>
      <c r="I517" s="24"/>
    </row>
    <row r="518" spans="8:9" ht="14.25" customHeight="1" x14ac:dyDescent="0.3">
      <c r="H518" s="24"/>
      <c r="I518" s="24"/>
    </row>
    <row r="519" spans="8:9" ht="14.25" customHeight="1" x14ac:dyDescent="0.3">
      <c r="H519" s="24"/>
      <c r="I519" s="24"/>
    </row>
    <row r="520" spans="8:9" ht="14.25" customHeight="1" x14ac:dyDescent="0.3">
      <c r="H520" s="24"/>
      <c r="I520" s="24"/>
    </row>
    <row r="521" spans="8:9" ht="14.25" customHeight="1" x14ac:dyDescent="0.3">
      <c r="H521" s="24"/>
      <c r="I521" s="24"/>
    </row>
    <row r="522" spans="8:9" ht="14.25" customHeight="1" x14ac:dyDescent="0.3">
      <c r="H522" s="24"/>
      <c r="I522" s="24"/>
    </row>
    <row r="523" spans="8:9" ht="14.25" customHeight="1" x14ac:dyDescent="0.3">
      <c r="H523" s="24"/>
      <c r="I523" s="24"/>
    </row>
    <row r="524" spans="8:9" ht="14.25" customHeight="1" x14ac:dyDescent="0.3">
      <c r="H524" s="24"/>
      <c r="I524" s="24"/>
    </row>
    <row r="525" spans="8:9" ht="14.25" customHeight="1" x14ac:dyDescent="0.3">
      <c r="H525" s="24"/>
      <c r="I525" s="24"/>
    </row>
    <row r="526" spans="8:9" ht="14.25" customHeight="1" x14ac:dyDescent="0.3">
      <c r="H526" s="24"/>
      <c r="I526" s="24"/>
    </row>
    <row r="527" spans="8:9" ht="14.25" customHeight="1" x14ac:dyDescent="0.3">
      <c r="H527" s="24"/>
      <c r="I527" s="24"/>
    </row>
    <row r="528" spans="8:9" ht="14.25" customHeight="1" x14ac:dyDescent="0.3">
      <c r="H528" s="24"/>
      <c r="I528" s="24"/>
    </row>
    <row r="529" spans="8:9" ht="14.25" customHeight="1" x14ac:dyDescent="0.3">
      <c r="H529" s="24"/>
      <c r="I529" s="24"/>
    </row>
    <row r="530" spans="8:9" ht="14.25" customHeight="1" x14ac:dyDescent="0.3">
      <c r="H530" s="24"/>
      <c r="I530" s="24"/>
    </row>
    <row r="531" spans="8:9" ht="14.25" customHeight="1" x14ac:dyDescent="0.3">
      <c r="H531" s="24"/>
      <c r="I531" s="24"/>
    </row>
    <row r="532" spans="8:9" ht="14.25" customHeight="1" x14ac:dyDescent="0.3">
      <c r="H532" s="24"/>
      <c r="I532" s="24"/>
    </row>
    <row r="533" spans="8:9" ht="14.25" customHeight="1" x14ac:dyDescent="0.3">
      <c r="H533" s="24"/>
      <c r="I533" s="24"/>
    </row>
    <row r="534" spans="8:9" ht="14.25" customHeight="1" x14ac:dyDescent="0.3">
      <c r="H534" s="24"/>
      <c r="I534" s="24"/>
    </row>
    <row r="535" spans="8:9" ht="14.25" customHeight="1" x14ac:dyDescent="0.3">
      <c r="H535" s="24"/>
      <c r="I535" s="24"/>
    </row>
    <row r="536" spans="8:9" ht="14.25" customHeight="1" x14ac:dyDescent="0.3">
      <c r="H536" s="24"/>
      <c r="I536" s="24"/>
    </row>
    <row r="537" spans="8:9" ht="14.25" customHeight="1" x14ac:dyDescent="0.3">
      <c r="H537" s="24"/>
      <c r="I537" s="24"/>
    </row>
    <row r="538" spans="8:9" ht="14.25" customHeight="1" x14ac:dyDescent="0.3">
      <c r="H538" s="24"/>
      <c r="I538" s="24"/>
    </row>
    <row r="539" spans="8:9" ht="14.25" customHeight="1" x14ac:dyDescent="0.3">
      <c r="H539" s="24"/>
      <c r="I539" s="24"/>
    </row>
    <row r="540" spans="8:9" ht="14.25" customHeight="1" x14ac:dyDescent="0.3">
      <c r="H540" s="24"/>
      <c r="I540" s="24"/>
    </row>
    <row r="541" spans="8:9" ht="14.25" customHeight="1" x14ac:dyDescent="0.3">
      <c r="H541" s="24"/>
      <c r="I541" s="24"/>
    </row>
    <row r="542" spans="8:9" ht="14.25" customHeight="1" x14ac:dyDescent="0.3">
      <c r="H542" s="24"/>
      <c r="I542" s="24"/>
    </row>
    <row r="543" spans="8:9" ht="14.25" customHeight="1" x14ac:dyDescent="0.3">
      <c r="H543" s="24"/>
      <c r="I543" s="24"/>
    </row>
    <row r="544" spans="8:9" ht="14.25" customHeight="1" x14ac:dyDescent="0.3">
      <c r="H544" s="24"/>
      <c r="I544" s="24"/>
    </row>
    <row r="545" spans="8:9" ht="14.25" customHeight="1" x14ac:dyDescent="0.3">
      <c r="H545" s="24"/>
      <c r="I545" s="24"/>
    </row>
    <row r="546" spans="8:9" ht="14.25" customHeight="1" x14ac:dyDescent="0.3">
      <c r="H546" s="24"/>
      <c r="I546" s="24"/>
    </row>
    <row r="547" spans="8:9" ht="14.25" customHeight="1" x14ac:dyDescent="0.3">
      <c r="H547" s="24"/>
      <c r="I547" s="24"/>
    </row>
    <row r="548" spans="8:9" ht="14.25" customHeight="1" x14ac:dyDescent="0.3">
      <c r="H548" s="24"/>
      <c r="I548" s="24"/>
    </row>
    <row r="549" spans="8:9" ht="14.25" customHeight="1" x14ac:dyDescent="0.3">
      <c r="H549" s="24"/>
      <c r="I549" s="24"/>
    </row>
    <row r="550" spans="8:9" ht="14.25" customHeight="1" x14ac:dyDescent="0.3">
      <c r="H550" s="24"/>
      <c r="I550" s="24"/>
    </row>
    <row r="551" spans="8:9" ht="14.25" customHeight="1" x14ac:dyDescent="0.3">
      <c r="H551" s="24"/>
      <c r="I551" s="24"/>
    </row>
    <row r="552" spans="8:9" ht="14.25" customHeight="1" x14ac:dyDescent="0.3">
      <c r="H552" s="24"/>
      <c r="I552" s="24"/>
    </row>
    <row r="553" spans="8:9" ht="14.25" customHeight="1" x14ac:dyDescent="0.3">
      <c r="H553" s="24"/>
      <c r="I553" s="24"/>
    </row>
    <row r="554" spans="8:9" ht="14.25" customHeight="1" x14ac:dyDescent="0.3">
      <c r="H554" s="24"/>
      <c r="I554" s="24"/>
    </row>
    <row r="555" spans="8:9" ht="14.25" customHeight="1" x14ac:dyDescent="0.3">
      <c r="H555" s="24"/>
      <c r="I555" s="24"/>
    </row>
    <row r="556" spans="8:9" ht="14.25" customHeight="1" x14ac:dyDescent="0.3">
      <c r="H556" s="24"/>
      <c r="I556" s="24"/>
    </row>
    <row r="557" spans="8:9" ht="14.25" customHeight="1" x14ac:dyDescent="0.3">
      <c r="H557" s="24"/>
      <c r="I557" s="24"/>
    </row>
    <row r="558" spans="8:9" ht="14.25" customHeight="1" x14ac:dyDescent="0.3">
      <c r="H558" s="24"/>
      <c r="I558" s="24"/>
    </row>
    <row r="559" spans="8:9" ht="14.25" customHeight="1" x14ac:dyDescent="0.3">
      <c r="H559" s="24"/>
      <c r="I559" s="24"/>
    </row>
    <row r="560" spans="8:9" ht="14.25" customHeight="1" x14ac:dyDescent="0.3">
      <c r="H560" s="24"/>
      <c r="I560" s="24"/>
    </row>
    <row r="561" spans="8:9" ht="14.25" customHeight="1" x14ac:dyDescent="0.3">
      <c r="H561" s="24"/>
      <c r="I561" s="24"/>
    </row>
    <row r="562" spans="8:9" ht="14.25" customHeight="1" x14ac:dyDescent="0.3">
      <c r="H562" s="24"/>
      <c r="I562" s="24"/>
    </row>
    <row r="563" spans="8:9" ht="14.25" customHeight="1" x14ac:dyDescent="0.3">
      <c r="H563" s="24"/>
      <c r="I563" s="24"/>
    </row>
    <row r="564" spans="8:9" ht="14.25" customHeight="1" x14ac:dyDescent="0.3">
      <c r="H564" s="24"/>
      <c r="I564" s="24"/>
    </row>
    <row r="565" spans="8:9" ht="14.25" customHeight="1" x14ac:dyDescent="0.3">
      <c r="H565" s="24"/>
      <c r="I565" s="24"/>
    </row>
    <row r="566" spans="8:9" ht="14.25" customHeight="1" x14ac:dyDescent="0.3">
      <c r="H566" s="24"/>
      <c r="I566" s="24"/>
    </row>
    <row r="567" spans="8:9" ht="14.25" customHeight="1" x14ac:dyDescent="0.3">
      <c r="H567" s="24"/>
      <c r="I567" s="24"/>
    </row>
    <row r="568" spans="8:9" ht="14.25" customHeight="1" x14ac:dyDescent="0.3">
      <c r="H568" s="24"/>
      <c r="I568" s="24"/>
    </row>
    <row r="569" spans="8:9" ht="14.25" customHeight="1" x14ac:dyDescent="0.3">
      <c r="H569" s="24"/>
      <c r="I569" s="24"/>
    </row>
    <row r="570" spans="8:9" ht="14.25" customHeight="1" x14ac:dyDescent="0.3">
      <c r="H570" s="24"/>
      <c r="I570" s="24"/>
    </row>
    <row r="571" spans="8:9" ht="14.25" customHeight="1" x14ac:dyDescent="0.3">
      <c r="H571" s="24"/>
      <c r="I571" s="24"/>
    </row>
    <row r="572" spans="8:9" ht="14.25" customHeight="1" x14ac:dyDescent="0.3">
      <c r="H572" s="24"/>
      <c r="I572" s="24"/>
    </row>
    <row r="573" spans="8:9" ht="14.25" customHeight="1" x14ac:dyDescent="0.3">
      <c r="H573" s="24"/>
      <c r="I573" s="24"/>
    </row>
    <row r="574" spans="8:9" ht="14.25" customHeight="1" x14ac:dyDescent="0.3">
      <c r="H574" s="24"/>
      <c r="I574" s="24"/>
    </row>
    <row r="575" spans="8:9" ht="14.25" customHeight="1" x14ac:dyDescent="0.3">
      <c r="H575" s="24"/>
      <c r="I575" s="24"/>
    </row>
    <row r="576" spans="8:9" ht="14.25" customHeight="1" x14ac:dyDescent="0.3">
      <c r="H576" s="24"/>
      <c r="I576" s="24"/>
    </row>
    <row r="577" spans="8:9" ht="14.25" customHeight="1" x14ac:dyDescent="0.3">
      <c r="H577" s="24"/>
      <c r="I577" s="24"/>
    </row>
    <row r="578" spans="8:9" ht="14.25" customHeight="1" x14ac:dyDescent="0.3">
      <c r="H578" s="24"/>
      <c r="I578" s="24"/>
    </row>
    <row r="579" spans="8:9" ht="14.25" customHeight="1" x14ac:dyDescent="0.3">
      <c r="H579" s="24"/>
      <c r="I579" s="24"/>
    </row>
    <row r="580" spans="8:9" ht="14.25" customHeight="1" x14ac:dyDescent="0.3">
      <c r="H580" s="24"/>
      <c r="I580" s="24"/>
    </row>
    <row r="581" spans="8:9" ht="14.25" customHeight="1" x14ac:dyDescent="0.3">
      <c r="H581" s="24"/>
      <c r="I581" s="24"/>
    </row>
    <row r="582" spans="8:9" ht="14.25" customHeight="1" x14ac:dyDescent="0.3">
      <c r="H582" s="24"/>
      <c r="I582" s="24"/>
    </row>
    <row r="583" spans="8:9" ht="14.25" customHeight="1" x14ac:dyDescent="0.3">
      <c r="H583" s="24"/>
      <c r="I583" s="24"/>
    </row>
    <row r="584" spans="8:9" ht="14.25" customHeight="1" x14ac:dyDescent="0.3">
      <c r="H584" s="24"/>
      <c r="I584" s="24"/>
    </row>
    <row r="585" spans="8:9" ht="14.25" customHeight="1" x14ac:dyDescent="0.3">
      <c r="H585" s="24"/>
      <c r="I585" s="24"/>
    </row>
    <row r="586" spans="8:9" ht="14.25" customHeight="1" x14ac:dyDescent="0.3">
      <c r="H586" s="24"/>
      <c r="I586" s="24"/>
    </row>
    <row r="587" spans="8:9" ht="14.25" customHeight="1" x14ac:dyDescent="0.3">
      <c r="H587" s="24"/>
      <c r="I587" s="24"/>
    </row>
    <row r="588" spans="8:9" ht="14.25" customHeight="1" x14ac:dyDescent="0.3">
      <c r="H588" s="24"/>
      <c r="I588" s="24"/>
    </row>
    <row r="589" spans="8:9" ht="14.25" customHeight="1" x14ac:dyDescent="0.3">
      <c r="H589" s="24"/>
      <c r="I589" s="24"/>
    </row>
    <row r="590" spans="8:9" ht="14.25" customHeight="1" x14ac:dyDescent="0.3">
      <c r="H590" s="24"/>
      <c r="I590" s="24"/>
    </row>
    <row r="591" spans="8:9" ht="14.25" customHeight="1" x14ac:dyDescent="0.3">
      <c r="H591" s="24"/>
      <c r="I591" s="24"/>
    </row>
    <row r="592" spans="8:9" ht="14.25" customHeight="1" x14ac:dyDescent="0.3">
      <c r="H592" s="24"/>
      <c r="I592" s="24"/>
    </row>
    <row r="593" spans="8:9" ht="14.25" customHeight="1" x14ac:dyDescent="0.3">
      <c r="H593" s="24"/>
      <c r="I593" s="24"/>
    </row>
    <row r="594" spans="8:9" ht="14.25" customHeight="1" x14ac:dyDescent="0.3">
      <c r="H594" s="24"/>
      <c r="I594" s="24"/>
    </row>
    <row r="595" spans="8:9" ht="14.25" customHeight="1" x14ac:dyDescent="0.3">
      <c r="H595" s="24"/>
      <c r="I595" s="24"/>
    </row>
    <row r="596" spans="8:9" ht="14.25" customHeight="1" x14ac:dyDescent="0.3">
      <c r="H596" s="24"/>
      <c r="I596" s="24"/>
    </row>
    <row r="597" spans="8:9" ht="14.25" customHeight="1" x14ac:dyDescent="0.3">
      <c r="H597" s="24"/>
      <c r="I597" s="24"/>
    </row>
    <row r="598" spans="8:9" ht="14.25" customHeight="1" x14ac:dyDescent="0.3">
      <c r="H598" s="24"/>
      <c r="I598" s="24"/>
    </row>
    <row r="599" spans="8:9" ht="14.25" customHeight="1" x14ac:dyDescent="0.3">
      <c r="H599" s="24"/>
      <c r="I599" s="24"/>
    </row>
    <row r="600" spans="8:9" ht="14.25" customHeight="1" x14ac:dyDescent="0.3">
      <c r="H600" s="24"/>
      <c r="I600" s="24"/>
    </row>
    <row r="601" spans="8:9" ht="14.25" customHeight="1" x14ac:dyDescent="0.3">
      <c r="H601" s="24"/>
      <c r="I601" s="24"/>
    </row>
    <row r="602" spans="8:9" ht="14.25" customHeight="1" x14ac:dyDescent="0.3">
      <c r="H602" s="24"/>
      <c r="I602" s="24"/>
    </row>
    <row r="603" spans="8:9" ht="14.25" customHeight="1" x14ac:dyDescent="0.3">
      <c r="H603" s="24"/>
      <c r="I603" s="24"/>
    </row>
    <row r="604" spans="8:9" ht="14.25" customHeight="1" x14ac:dyDescent="0.3">
      <c r="H604" s="24"/>
      <c r="I604" s="24"/>
    </row>
    <row r="605" spans="8:9" ht="14.25" customHeight="1" x14ac:dyDescent="0.3">
      <c r="H605" s="24"/>
      <c r="I605" s="24"/>
    </row>
    <row r="606" spans="8:9" ht="14.25" customHeight="1" x14ac:dyDescent="0.3">
      <c r="H606" s="24"/>
      <c r="I606" s="24"/>
    </row>
    <row r="607" spans="8:9" ht="14.25" customHeight="1" x14ac:dyDescent="0.3">
      <c r="H607" s="24"/>
      <c r="I607" s="24"/>
    </row>
    <row r="608" spans="8:9" ht="14.25" customHeight="1" x14ac:dyDescent="0.3">
      <c r="H608" s="24"/>
      <c r="I608" s="24"/>
    </row>
    <row r="609" spans="8:9" ht="14.25" customHeight="1" x14ac:dyDescent="0.3">
      <c r="H609" s="24"/>
      <c r="I609" s="24"/>
    </row>
    <row r="610" spans="8:9" ht="14.25" customHeight="1" x14ac:dyDescent="0.3">
      <c r="H610" s="24"/>
      <c r="I610" s="24"/>
    </row>
    <row r="611" spans="8:9" ht="14.25" customHeight="1" x14ac:dyDescent="0.3">
      <c r="H611" s="24"/>
      <c r="I611" s="24"/>
    </row>
    <row r="612" spans="8:9" ht="14.25" customHeight="1" x14ac:dyDescent="0.3">
      <c r="H612" s="24"/>
      <c r="I612" s="24"/>
    </row>
    <row r="613" spans="8:9" ht="14.25" customHeight="1" x14ac:dyDescent="0.3">
      <c r="H613" s="24"/>
      <c r="I613" s="24"/>
    </row>
    <row r="614" spans="8:9" ht="14.25" customHeight="1" x14ac:dyDescent="0.3">
      <c r="H614" s="24"/>
      <c r="I614" s="24"/>
    </row>
    <row r="615" spans="8:9" ht="14.25" customHeight="1" x14ac:dyDescent="0.3">
      <c r="H615" s="24"/>
      <c r="I615" s="24"/>
    </row>
    <row r="616" spans="8:9" ht="14.25" customHeight="1" x14ac:dyDescent="0.3">
      <c r="H616" s="24"/>
      <c r="I616" s="24"/>
    </row>
    <row r="617" spans="8:9" ht="14.25" customHeight="1" x14ac:dyDescent="0.3">
      <c r="H617" s="24"/>
      <c r="I617" s="24"/>
    </row>
    <row r="618" spans="8:9" ht="14.25" customHeight="1" x14ac:dyDescent="0.3">
      <c r="H618" s="24"/>
      <c r="I618" s="24"/>
    </row>
    <row r="619" spans="8:9" ht="14.25" customHeight="1" x14ac:dyDescent="0.3">
      <c r="H619" s="24"/>
      <c r="I619" s="24"/>
    </row>
    <row r="620" spans="8:9" ht="14.25" customHeight="1" x14ac:dyDescent="0.3">
      <c r="H620" s="24"/>
      <c r="I620" s="24"/>
    </row>
    <row r="621" spans="8:9" ht="14.25" customHeight="1" x14ac:dyDescent="0.3">
      <c r="H621" s="24"/>
      <c r="I621" s="24"/>
    </row>
    <row r="622" spans="8:9" ht="14.25" customHeight="1" x14ac:dyDescent="0.3">
      <c r="H622" s="24"/>
      <c r="I622" s="24"/>
    </row>
    <row r="623" spans="8:9" ht="14.25" customHeight="1" x14ac:dyDescent="0.3">
      <c r="H623" s="24"/>
      <c r="I623" s="24"/>
    </row>
    <row r="624" spans="8:9" ht="14.25" customHeight="1" x14ac:dyDescent="0.3">
      <c r="H624" s="24"/>
      <c r="I624" s="24"/>
    </row>
    <row r="625" spans="8:9" ht="14.25" customHeight="1" x14ac:dyDescent="0.3">
      <c r="H625" s="24"/>
      <c r="I625" s="24"/>
    </row>
    <row r="626" spans="8:9" ht="14.25" customHeight="1" x14ac:dyDescent="0.3">
      <c r="H626" s="24"/>
      <c r="I626" s="24"/>
    </row>
    <row r="627" spans="8:9" ht="14.25" customHeight="1" x14ac:dyDescent="0.3">
      <c r="H627" s="24"/>
      <c r="I627" s="24"/>
    </row>
    <row r="628" spans="8:9" ht="14.25" customHeight="1" x14ac:dyDescent="0.3">
      <c r="H628" s="24"/>
      <c r="I628" s="24"/>
    </row>
    <row r="629" spans="8:9" ht="14.25" customHeight="1" x14ac:dyDescent="0.3">
      <c r="H629" s="24"/>
      <c r="I629" s="24"/>
    </row>
    <row r="630" spans="8:9" ht="14.25" customHeight="1" x14ac:dyDescent="0.3">
      <c r="H630" s="24"/>
      <c r="I630" s="24"/>
    </row>
    <row r="631" spans="8:9" ht="14.25" customHeight="1" x14ac:dyDescent="0.3">
      <c r="H631" s="24"/>
      <c r="I631" s="24"/>
    </row>
    <row r="632" spans="8:9" ht="14.25" customHeight="1" x14ac:dyDescent="0.3">
      <c r="H632" s="24"/>
      <c r="I632" s="24"/>
    </row>
    <row r="633" spans="8:9" ht="14.25" customHeight="1" x14ac:dyDescent="0.3">
      <c r="H633" s="24"/>
      <c r="I633" s="24"/>
    </row>
    <row r="634" spans="8:9" ht="14.25" customHeight="1" x14ac:dyDescent="0.3">
      <c r="H634" s="24"/>
      <c r="I634" s="24"/>
    </row>
    <row r="635" spans="8:9" ht="14.25" customHeight="1" x14ac:dyDescent="0.3">
      <c r="H635" s="24"/>
      <c r="I635" s="24"/>
    </row>
    <row r="636" spans="8:9" ht="14.25" customHeight="1" x14ac:dyDescent="0.3">
      <c r="H636" s="24"/>
      <c r="I636" s="24"/>
    </row>
    <row r="637" spans="8:9" ht="14.25" customHeight="1" x14ac:dyDescent="0.3">
      <c r="H637" s="24"/>
      <c r="I637" s="24"/>
    </row>
    <row r="638" spans="8:9" ht="14.25" customHeight="1" x14ac:dyDescent="0.3">
      <c r="H638" s="24"/>
      <c r="I638" s="24"/>
    </row>
    <row r="639" spans="8:9" ht="14.25" customHeight="1" x14ac:dyDescent="0.3">
      <c r="H639" s="24"/>
      <c r="I639" s="24"/>
    </row>
    <row r="640" spans="8:9" ht="14.25" customHeight="1" x14ac:dyDescent="0.3">
      <c r="H640" s="24"/>
      <c r="I640" s="24"/>
    </row>
    <row r="641" spans="8:9" ht="14.25" customHeight="1" x14ac:dyDescent="0.3">
      <c r="H641" s="24"/>
      <c r="I641" s="24"/>
    </row>
    <row r="642" spans="8:9" ht="14.25" customHeight="1" x14ac:dyDescent="0.3">
      <c r="H642" s="24"/>
      <c r="I642" s="24"/>
    </row>
    <row r="643" spans="8:9" ht="14.25" customHeight="1" x14ac:dyDescent="0.3">
      <c r="H643" s="24"/>
      <c r="I643" s="24"/>
    </row>
    <row r="644" spans="8:9" ht="14.25" customHeight="1" x14ac:dyDescent="0.3">
      <c r="H644" s="24"/>
      <c r="I644" s="24"/>
    </row>
    <row r="645" spans="8:9" ht="14.25" customHeight="1" x14ac:dyDescent="0.3">
      <c r="H645" s="24"/>
      <c r="I645" s="24"/>
    </row>
    <row r="646" spans="8:9" ht="14.25" customHeight="1" x14ac:dyDescent="0.3">
      <c r="H646" s="24"/>
      <c r="I646" s="24"/>
    </row>
    <row r="647" spans="8:9" ht="14.25" customHeight="1" x14ac:dyDescent="0.3">
      <c r="H647" s="24"/>
      <c r="I647" s="24"/>
    </row>
    <row r="648" spans="8:9" ht="14.25" customHeight="1" x14ac:dyDescent="0.3">
      <c r="H648" s="24"/>
      <c r="I648" s="24"/>
    </row>
    <row r="649" spans="8:9" ht="14.25" customHeight="1" x14ac:dyDescent="0.3">
      <c r="H649" s="24"/>
      <c r="I649" s="24"/>
    </row>
    <row r="650" spans="8:9" ht="14.25" customHeight="1" x14ac:dyDescent="0.3">
      <c r="H650" s="24"/>
      <c r="I650" s="24"/>
    </row>
    <row r="651" spans="8:9" ht="14.25" customHeight="1" x14ac:dyDescent="0.3">
      <c r="H651" s="24"/>
      <c r="I651" s="24"/>
    </row>
    <row r="652" spans="8:9" ht="14.25" customHeight="1" x14ac:dyDescent="0.3">
      <c r="H652" s="24"/>
      <c r="I652" s="24"/>
    </row>
    <row r="653" spans="8:9" ht="14.25" customHeight="1" x14ac:dyDescent="0.3">
      <c r="H653" s="24"/>
      <c r="I653" s="24"/>
    </row>
    <row r="654" spans="8:9" ht="14.25" customHeight="1" x14ac:dyDescent="0.3">
      <c r="H654" s="24"/>
      <c r="I654" s="24"/>
    </row>
    <row r="655" spans="8:9" ht="14.25" customHeight="1" x14ac:dyDescent="0.3">
      <c r="H655" s="24"/>
      <c r="I655" s="24"/>
    </row>
    <row r="656" spans="8:9" ht="14.25" customHeight="1" x14ac:dyDescent="0.3">
      <c r="H656" s="24"/>
      <c r="I656" s="24"/>
    </row>
    <row r="657" spans="8:9" ht="14.25" customHeight="1" x14ac:dyDescent="0.3">
      <c r="H657" s="24"/>
      <c r="I657" s="24"/>
    </row>
    <row r="658" spans="8:9" ht="14.25" customHeight="1" x14ac:dyDescent="0.3">
      <c r="H658" s="24"/>
      <c r="I658" s="24"/>
    </row>
    <row r="659" spans="8:9" ht="14.25" customHeight="1" x14ac:dyDescent="0.3">
      <c r="H659" s="24"/>
      <c r="I659" s="24"/>
    </row>
    <row r="660" spans="8:9" ht="14.25" customHeight="1" x14ac:dyDescent="0.3">
      <c r="H660" s="24"/>
      <c r="I660" s="24"/>
    </row>
    <row r="661" spans="8:9" ht="14.25" customHeight="1" x14ac:dyDescent="0.3">
      <c r="H661" s="24"/>
      <c r="I661" s="24"/>
    </row>
    <row r="662" spans="8:9" ht="14.25" customHeight="1" x14ac:dyDescent="0.3">
      <c r="H662" s="24"/>
      <c r="I662" s="24"/>
    </row>
    <row r="663" spans="8:9" ht="14.25" customHeight="1" x14ac:dyDescent="0.3">
      <c r="H663" s="24"/>
      <c r="I663" s="24"/>
    </row>
    <row r="664" spans="8:9" ht="14.25" customHeight="1" x14ac:dyDescent="0.3">
      <c r="H664" s="24"/>
      <c r="I664" s="24"/>
    </row>
    <row r="665" spans="8:9" ht="14.25" customHeight="1" x14ac:dyDescent="0.3">
      <c r="H665" s="24"/>
      <c r="I665" s="24"/>
    </row>
    <row r="666" spans="8:9" ht="14.25" customHeight="1" x14ac:dyDescent="0.3">
      <c r="H666" s="24"/>
      <c r="I666" s="24"/>
    </row>
    <row r="667" spans="8:9" ht="14.25" customHeight="1" x14ac:dyDescent="0.3">
      <c r="H667" s="24"/>
      <c r="I667" s="24"/>
    </row>
    <row r="668" spans="8:9" ht="14.25" customHeight="1" x14ac:dyDescent="0.3">
      <c r="H668" s="24"/>
      <c r="I668" s="24"/>
    </row>
    <row r="669" spans="8:9" ht="14.25" customHeight="1" x14ac:dyDescent="0.3">
      <c r="H669" s="24"/>
      <c r="I669" s="24"/>
    </row>
    <row r="670" spans="8:9" ht="14.25" customHeight="1" x14ac:dyDescent="0.3">
      <c r="H670" s="24"/>
      <c r="I670" s="24"/>
    </row>
    <row r="671" spans="8:9" ht="14.25" customHeight="1" x14ac:dyDescent="0.3">
      <c r="H671" s="24"/>
      <c r="I671" s="24"/>
    </row>
    <row r="672" spans="8:9" ht="14.25" customHeight="1" x14ac:dyDescent="0.3">
      <c r="H672" s="24"/>
      <c r="I672" s="24"/>
    </row>
    <row r="673" spans="8:9" ht="14.25" customHeight="1" x14ac:dyDescent="0.3">
      <c r="H673" s="24"/>
      <c r="I673" s="24"/>
    </row>
    <row r="674" spans="8:9" ht="14.25" customHeight="1" x14ac:dyDescent="0.3">
      <c r="H674" s="24"/>
      <c r="I674" s="24"/>
    </row>
    <row r="675" spans="8:9" ht="14.25" customHeight="1" x14ac:dyDescent="0.3">
      <c r="H675" s="24"/>
      <c r="I675" s="24"/>
    </row>
    <row r="676" spans="8:9" ht="14.25" customHeight="1" x14ac:dyDescent="0.3">
      <c r="H676" s="24"/>
      <c r="I676" s="24"/>
    </row>
    <row r="677" spans="8:9" ht="14.25" customHeight="1" x14ac:dyDescent="0.3">
      <c r="H677" s="24"/>
      <c r="I677" s="24"/>
    </row>
    <row r="678" spans="8:9" ht="14.25" customHeight="1" x14ac:dyDescent="0.3">
      <c r="H678" s="24"/>
      <c r="I678" s="24"/>
    </row>
    <row r="679" spans="8:9" ht="14.25" customHeight="1" x14ac:dyDescent="0.3">
      <c r="H679" s="24"/>
      <c r="I679" s="24"/>
    </row>
    <row r="680" spans="8:9" ht="14.25" customHeight="1" x14ac:dyDescent="0.3">
      <c r="H680" s="24"/>
      <c r="I680" s="24"/>
    </row>
    <row r="681" spans="8:9" ht="14.25" customHeight="1" x14ac:dyDescent="0.3">
      <c r="H681" s="24"/>
      <c r="I681" s="24"/>
    </row>
    <row r="682" spans="8:9" ht="14.25" customHeight="1" x14ac:dyDescent="0.3">
      <c r="H682" s="24"/>
      <c r="I682" s="24"/>
    </row>
    <row r="683" spans="8:9" ht="14.25" customHeight="1" x14ac:dyDescent="0.3">
      <c r="H683" s="24"/>
      <c r="I683" s="24"/>
    </row>
    <row r="684" spans="8:9" ht="14.25" customHeight="1" x14ac:dyDescent="0.3">
      <c r="H684" s="24"/>
      <c r="I684" s="24"/>
    </row>
    <row r="685" spans="8:9" ht="14.25" customHeight="1" x14ac:dyDescent="0.3">
      <c r="H685" s="24"/>
      <c r="I685" s="24"/>
    </row>
    <row r="686" spans="8:9" ht="14.25" customHeight="1" x14ac:dyDescent="0.3">
      <c r="H686" s="24"/>
      <c r="I686" s="24"/>
    </row>
    <row r="687" spans="8:9" ht="14.25" customHeight="1" x14ac:dyDescent="0.3">
      <c r="H687" s="24"/>
      <c r="I687" s="24"/>
    </row>
    <row r="688" spans="8:9" ht="14.25" customHeight="1" x14ac:dyDescent="0.3">
      <c r="H688" s="24"/>
      <c r="I688" s="24"/>
    </row>
    <row r="689" spans="8:9" ht="14.25" customHeight="1" x14ac:dyDescent="0.3">
      <c r="H689" s="24"/>
      <c r="I689" s="24"/>
    </row>
    <row r="690" spans="8:9" ht="14.25" customHeight="1" x14ac:dyDescent="0.3">
      <c r="H690" s="24"/>
      <c r="I690" s="24"/>
    </row>
    <row r="691" spans="8:9" ht="14.25" customHeight="1" x14ac:dyDescent="0.3">
      <c r="H691" s="24"/>
      <c r="I691" s="24"/>
    </row>
    <row r="692" spans="8:9" ht="14.25" customHeight="1" x14ac:dyDescent="0.3">
      <c r="H692" s="24"/>
      <c r="I692" s="24"/>
    </row>
    <row r="693" spans="8:9" ht="14.25" customHeight="1" x14ac:dyDescent="0.3">
      <c r="H693" s="24"/>
      <c r="I693" s="24"/>
    </row>
    <row r="694" spans="8:9" ht="14.25" customHeight="1" x14ac:dyDescent="0.3">
      <c r="H694" s="24"/>
      <c r="I694" s="24"/>
    </row>
    <row r="695" spans="8:9" ht="14.25" customHeight="1" x14ac:dyDescent="0.3">
      <c r="H695" s="24"/>
      <c r="I695" s="24"/>
    </row>
    <row r="696" spans="8:9" ht="14.25" customHeight="1" x14ac:dyDescent="0.3">
      <c r="H696" s="24"/>
      <c r="I696" s="24"/>
    </row>
    <row r="697" spans="8:9" ht="14.25" customHeight="1" x14ac:dyDescent="0.3">
      <c r="H697" s="24"/>
      <c r="I697" s="24"/>
    </row>
    <row r="698" spans="8:9" ht="14.25" customHeight="1" x14ac:dyDescent="0.3">
      <c r="H698" s="24"/>
      <c r="I698" s="24"/>
    </row>
    <row r="699" spans="8:9" ht="14.25" customHeight="1" x14ac:dyDescent="0.3">
      <c r="H699" s="24"/>
      <c r="I699" s="24"/>
    </row>
    <row r="700" spans="8:9" ht="14.25" customHeight="1" x14ac:dyDescent="0.3">
      <c r="H700" s="24"/>
      <c r="I700" s="24"/>
    </row>
    <row r="701" spans="8:9" ht="14.25" customHeight="1" x14ac:dyDescent="0.3">
      <c r="H701" s="24"/>
      <c r="I701" s="24"/>
    </row>
    <row r="702" spans="8:9" ht="14.25" customHeight="1" x14ac:dyDescent="0.3">
      <c r="H702" s="24"/>
      <c r="I702" s="24"/>
    </row>
    <row r="703" spans="8:9" ht="14.25" customHeight="1" x14ac:dyDescent="0.3">
      <c r="H703" s="24"/>
      <c r="I703" s="24"/>
    </row>
    <row r="704" spans="8:9" ht="14.25" customHeight="1" x14ac:dyDescent="0.3">
      <c r="H704" s="24"/>
      <c r="I704" s="24"/>
    </row>
    <row r="705" spans="8:9" ht="14.25" customHeight="1" x14ac:dyDescent="0.3">
      <c r="H705" s="24"/>
      <c r="I705" s="24"/>
    </row>
    <row r="706" spans="8:9" ht="14.25" customHeight="1" x14ac:dyDescent="0.3">
      <c r="H706" s="24"/>
      <c r="I706" s="24"/>
    </row>
    <row r="707" spans="8:9" ht="14.25" customHeight="1" x14ac:dyDescent="0.3">
      <c r="H707" s="24"/>
      <c r="I707" s="24"/>
    </row>
    <row r="708" spans="8:9" ht="14.25" customHeight="1" x14ac:dyDescent="0.3">
      <c r="H708" s="24"/>
      <c r="I708" s="24"/>
    </row>
    <row r="709" spans="8:9" ht="14.25" customHeight="1" x14ac:dyDescent="0.3">
      <c r="H709" s="24"/>
      <c r="I709" s="24"/>
    </row>
    <row r="710" spans="8:9" ht="14.25" customHeight="1" x14ac:dyDescent="0.3">
      <c r="H710" s="24"/>
      <c r="I710" s="24"/>
    </row>
    <row r="711" spans="8:9" ht="14.25" customHeight="1" x14ac:dyDescent="0.3">
      <c r="H711" s="24"/>
      <c r="I711" s="24"/>
    </row>
    <row r="712" spans="8:9" ht="14.25" customHeight="1" x14ac:dyDescent="0.3">
      <c r="H712" s="24"/>
      <c r="I712" s="24"/>
    </row>
    <row r="713" spans="8:9" ht="14.25" customHeight="1" x14ac:dyDescent="0.3">
      <c r="H713" s="24"/>
      <c r="I713" s="24"/>
    </row>
    <row r="714" spans="8:9" ht="14.25" customHeight="1" x14ac:dyDescent="0.3">
      <c r="H714" s="24"/>
      <c r="I714" s="24"/>
    </row>
    <row r="715" spans="8:9" ht="14.25" customHeight="1" x14ac:dyDescent="0.3">
      <c r="H715" s="24"/>
      <c r="I715" s="24"/>
    </row>
    <row r="716" spans="8:9" ht="14.25" customHeight="1" x14ac:dyDescent="0.3">
      <c r="H716" s="24"/>
      <c r="I716" s="24"/>
    </row>
    <row r="717" spans="8:9" ht="14.25" customHeight="1" x14ac:dyDescent="0.3">
      <c r="H717" s="24"/>
      <c r="I717" s="24"/>
    </row>
    <row r="718" spans="8:9" ht="14.25" customHeight="1" x14ac:dyDescent="0.3">
      <c r="H718" s="24"/>
      <c r="I718" s="24"/>
    </row>
    <row r="719" spans="8:9" ht="14.25" customHeight="1" x14ac:dyDescent="0.3">
      <c r="H719" s="24"/>
      <c r="I719" s="24"/>
    </row>
    <row r="720" spans="8:9" ht="14.25" customHeight="1" x14ac:dyDescent="0.3">
      <c r="H720" s="24"/>
      <c r="I720" s="24"/>
    </row>
    <row r="721" spans="8:9" ht="14.25" customHeight="1" x14ac:dyDescent="0.3">
      <c r="H721" s="24"/>
      <c r="I721" s="24"/>
    </row>
    <row r="722" spans="8:9" ht="14.25" customHeight="1" x14ac:dyDescent="0.3">
      <c r="H722" s="24"/>
      <c r="I722" s="24"/>
    </row>
    <row r="723" spans="8:9" ht="14.25" customHeight="1" x14ac:dyDescent="0.3">
      <c r="H723" s="24"/>
      <c r="I723" s="24"/>
    </row>
    <row r="724" spans="8:9" ht="14.25" customHeight="1" x14ac:dyDescent="0.3">
      <c r="H724" s="24"/>
      <c r="I724" s="24"/>
    </row>
    <row r="725" spans="8:9" ht="14.25" customHeight="1" x14ac:dyDescent="0.3">
      <c r="H725" s="24"/>
      <c r="I725" s="24"/>
    </row>
    <row r="726" spans="8:9" ht="14.25" customHeight="1" x14ac:dyDescent="0.3">
      <c r="H726" s="24"/>
      <c r="I726" s="24"/>
    </row>
    <row r="727" spans="8:9" ht="14.25" customHeight="1" x14ac:dyDescent="0.3">
      <c r="H727" s="24"/>
      <c r="I727" s="24"/>
    </row>
    <row r="728" spans="8:9" ht="14.25" customHeight="1" x14ac:dyDescent="0.3">
      <c r="H728" s="24"/>
      <c r="I728" s="24"/>
    </row>
    <row r="729" spans="8:9" ht="14.25" customHeight="1" x14ac:dyDescent="0.3">
      <c r="H729" s="24"/>
      <c r="I729" s="24"/>
    </row>
    <row r="730" spans="8:9" ht="14.25" customHeight="1" x14ac:dyDescent="0.3">
      <c r="H730" s="24"/>
      <c r="I730" s="24"/>
    </row>
    <row r="731" spans="8:9" ht="14.25" customHeight="1" x14ac:dyDescent="0.3">
      <c r="H731" s="24"/>
      <c r="I731" s="24"/>
    </row>
    <row r="732" spans="8:9" ht="14.25" customHeight="1" x14ac:dyDescent="0.3">
      <c r="H732" s="24"/>
      <c r="I732" s="24"/>
    </row>
    <row r="733" spans="8:9" ht="14.25" customHeight="1" x14ac:dyDescent="0.3">
      <c r="H733" s="24"/>
      <c r="I733" s="24"/>
    </row>
    <row r="734" spans="8:9" ht="14.25" customHeight="1" x14ac:dyDescent="0.3">
      <c r="H734" s="24"/>
      <c r="I734" s="24"/>
    </row>
    <row r="735" spans="8:9" ht="14.25" customHeight="1" x14ac:dyDescent="0.3">
      <c r="H735" s="24"/>
      <c r="I735" s="24"/>
    </row>
    <row r="736" spans="8:9" ht="14.25" customHeight="1" x14ac:dyDescent="0.3">
      <c r="H736" s="24"/>
      <c r="I736" s="24"/>
    </row>
    <row r="737" spans="8:9" ht="14.25" customHeight="1" x14ac:dyDescent="0.3">
      <c r="H737" s="24"/>
      <c r="I737" s="24"/>
    </row>
    <row r="738" spans="8:9" ht="14.25" customHeight="1" x14ac:dyDescent="0.3">
      <c r="H738" s="24"/>
      <c r="I738" s="24"/>
    </row>
    <row r="739" spans="8:9" ht="14.25" customHeight="1" x14ac:dyDescent="0.3">
      <c r="H739" s="24"/>
      <c r="I739" s="24"/>
    </row>
    <row r="740" spans="8:9" ht="14.25" customHeight="1" x14ac:dyDescent="0.3">
      <c r="H740" s="24"/>
      <c r="I740" s="24"/>
    </row>
    <row r="741" spans="8:9" ht="14.25" customHeight="1" x14ac:dyDescent="0.3">
      <c r="H741" s="24"/>
      <c r="I741" s="24"/>
    </row>
    <row r="742" spans="8:9" ht="14.25" customHeight="1" x14ac:dyDescent="0.3">
      <c r="H742" s="24"/>
      <c r="I742" s="24"/>
    </row>
    <row r="743" spans="8:9" ht="14.25" customHeight="1" x14ac:dyDescent="0.3">
      <c r="H743" s="24"/>
      <c r="I743" s="24"/>
    </row>
    <row r="744" spans="8:9" ht="14.25" customHeight="1" x14ac:dyDescent="0.3">
      <c r="H744" s="24"/>
      <c r="I744" s="24"/>
    </row>
    <row r="745" spans="8:9" ht="14.25" customHeight="1" x14ac:dyDescent="0.3">
      <c r="H745" s="24"/>
      <c r="I745" s="24"/>
    </row>
    <row r="746" spans="8:9" ht="14.25" customHeight="1" x14ac:dyDescent="0.3">
      <c r="H746" s="24"/>
      <c r="I746" s="24"/>
    </row>
    <row r="747" spans="8:9" ht="14.25" customHeight="1" x14ac:dyDescent="0.3">
      <c r="H747" s="24"/>
      <c r="I747" s="24"/>
    </row>
    <row r="748" spans="8:9" ht="14.25" customHeight="1" x14ac:dyDescent="0.3">
      <c r="H748" s="24"/>
      <c r="I748" s="24"/>
    </row>
    <row r="749" spans="8:9" ht="14.25" customHeight="1" x14ac:dyDescent="0.3">
      <c r="H749" s="24"/>
      <c r="I749" s="24"/>
    </row>
    <row r="750" spans="8:9" ht="14.25" customHeight="1" x14ac:dyDescent="0.3">
      <c r="H750" s="24"/>
      <c r="I750" s="24"/>
    </row>
    <row r="751" spans="8:9" ht="14.25" customHeight="1" x14ac:dyDescent="0.3">
      <c r="H751" s="24"/>
      <c r="I751" s="24"/>
    </row>
    <row r="752" spans="8:9" ht="14.25" customHeight="1" x14ac:dyDescent="0.3">
      <c r="H752" s="24"/>
      <c r="I752" s="24"/>
    </row>
    <row r="753" spans="8:9" ht="14.25" customHeight="1" x14ac:dyDescent="0.3">
      <c r="H753" s="24"/>
      <c r="I753" s="24"/>
    </row>
    <row r="754" spans="8:9" ht="14.25" customHeight="1" x14ac:dyDescent="0.3">
      <c r="H754" s="24"/>
      <c r="I754" s="24"/>
    </row>
    <row r="755" spans="8:9" ht="14.25" customHeight="1" x14ac:dyDescent="0.3">
      <c r="H755" s="24"/>
      <c r="I755" s="24"/>
    </row>
    <row r="756" spans="8:9" ht="14.25" customHeight="1" x14ac:dyDescent="0.3">
      <c r="H756" s="24"/>
      <c r="I756" s="24"/>
    </row>
    <row r="757" spans="8:9" ht="14.25" customHeight="1" x14ac:dyDescent="0.3">
      <c r="H757" s="24"/>
      <c r="I757" s="24"/>
    </row>
    <row r="758" spans="8:9" ht="14.25" customHeight="1" x14ac:dyDescent="0.3">
      <c r="H758" s="24"/>
      <c r="I758" s="24"/>
    </row>
    <row r="759" spans="8:9" ht="14.25" customHeight="1" x14ac:dyDescent="0.3">
      <c r="H759" s="24"/>
      <c r="I759" s="24"/>
    </row>
    <row r="760" spans="8:9" ht="14.25" customHeight="1" x14ac:dyDescent="0.3">
      <c r="H760" s="24"/>
      <c r="I760" s="24"/>
    </row>
    <row r="761" spans="8:9" ht="14.25" customHeight="1" x14ac:dyDescent="0.3">
      <c r="H761" s="24"/>
      <c r="I761" s="24"/>
    </row>
    <row r="762" spans="8:9" ht="14.25" customHeight="1" x14ac:dyDescent="0.3">
      <c r="H762" s="24"/>
      <c r="I762" s="24"/>
    </row>
    <row r="763" spans="8:9" ht="14.25" customHeight="1" x14ac:dyDescent="0.3">
      <c r="H763" s="24"/>
      <c r="I763" s="24"/>
    </row>
    <row r="764" spans="8:9" ht="14.25" customHeight="1" x14ac:dyDescent="0.3">
      <c r="H764" s="24"/>
      <c r="I764" s="24"/>
    </row>
    <row r="765" spans="8:9" ht="14.25" customHeight="1" x14ac:dyDescent="0.3">
      <c r="H765" s="24"/>
      <c r="I765" s="24"/>
    </row>
    <row r="766" spans="8:9" ht="14.25" customHeight="1" x14ac:dyDescent="0.3">
      <c r="H766" s="24"/>
      <c r="I766" s="24"/>
    </row>
    <row r="767" spans="8:9" ht="14.25" customHeight="1" x14ac:dyDescent="0.3">
      <c r="H767" s="24"/>
      <c r="I767" s="24"/>
    </row>
    <row r="768" spans="8:9" ht="14.25" customHeight="1" x14ac:dyDescent="0.3">
      <c r="H768" s="24"/>
      <c r="I768" s="24"/>
    </row>
    <row r="769" spans="8:9" ht="14.25" customHeight="1" x14ac:dyDescent="0.3">
      <c r="H769" s="24"/>
      <c r="I769" s="24"/>
    </row>
    <row r="770" spans="8:9" ht="14.25" customHeight="1" x14ac:dyDescent="0.3">
      <c r="H770" s="24"/>
      <c r="I770" s="24"/>
    </row>
    <row r="771" spans="8:9" ht="14.25" customHeight="1" x14ac:dyDescent="0.3">
      <c r="H771" s="24"/>
      <c r="I771" s="24"/>
    </row>
    <row r="772" spans="8:9" ht="14.25" customHeight="1" x14ac:dyDescent="0.3">
      <c r="H772" s="24"/>
      <c r="I772" s="24"/>
    </row>
    <row r="773" spans="8:9" ht="14.25" customHeight="1" x14ac:dyDescent="0.3">
      <c r="H773" s="24"/>
      <c r="I773" s="24"/>
    </row>
    <row r="774" spans="8:9" ht="14.25" customHeight="1" x14ac:dyDescent="0.3">
      <c r="H774" s="24"/>
      <c r="I774" s="24"/>
    </row>
    <row r="775" spans="8:9" ht="14.25" customHeight="1" x14ac:dyDescent="0.3">
      <c r="H775" s="24"/>
      <c r="I775" s="24"/>
    </row>
    <row r="776" spans="8:9" ht="14.25" customHeight="1" x14ac:dyDescent="0.3">
      <c r="H776" s="24"/>
      <c r="I776" s="24"/>
    </row>
    <row r="777" spans="8:9" ht="14.25" customHeight="1" x14ac:dyDescent="0.3">
      <c r="H777" s="24"/>
      <c r="I777" s="24"/>
    </row>
    <row r="778" spans="8:9" ht="14.25" customHeight="1" x14ac:dyDescent="0.3">
      <c r="H778" s="24"/>
      <c r="I778" s="24"/>
    </row>
    <row r="779" spans="8:9" ht="14.25" customHeight="1" x14ac:dyDescent="0.3">
      <c r="H779" s="24"/>
      <c r="I779" s="24"/>
    </row>
    <row r="780" spans="8:9" ht="14.25" customHeight="1" x14ac:dyDescent="0.3">
      <c r="H780" s="24"/>
      <c r="I780" s="24"/>
    </row>
    <row r="781" spans="8:9" ht="14.25" customHeight="1" x14ac:dyDescent="0.3">
      <c r="H781" s="24"/>
      <c r="I781" s="24"/>
    </row>
    <row r="782" spans="8:9" ht="14.25" customHeight="1" x14ac:dyDescent="0.3">
      <c r="H782" s="24"/>
      <c r="I782" s="24"/>
    </row>
    <row r="783" spans="8:9" ht="14.25" customHeight="1" x14ac:dyDescent="0.3">
      <c r="H783" s="24"/>
      <c r="I783" s="24"/>
    </row>
    <row r="784" spans="8:9" ht="14.25" customHeight="1" x14ac:dyDescent="0.3">
      <c r="H784" s="24"/>
      <c r="I784" s="24"/>
    </row>
    <row r="785" spans="8:9" ht="14.25" customHeight="1" x14ac:dyDescent="0.3">
      <c r="H785" s="24"/>
      <c r="I785" s="24"/>
    </row>
    <row r="786" spans="8:9" ht="14.25" customHeight="1" x14ac:dyDescent="0.3">
      <c r="H786" s="24"/>
      <c r="I786" s="24"/>
    </row>
    <row r="787" spans="8:9" ht="14.25" customHeight="1" x14ac:dyDescent="0.3">
      <c r="H787" s="24"/>
      <c r="I787" s="24"/>
    </row>
    <row r="788" spans="8:9" ht="14.25" customHeight="1" x14ac:dyDescent="0.3">
      <c r="H788" s="24"/>
      <c r="I788" s="24"/>
    </row>
    <row r="789" spans="8:9" ht="14.25" customHeight="1" x14ac:dyDescent="0.3">
      <c r="H789" s="24"/>
      <c r="I789" s="24"/>
    </row>
    <row r="790" spans="8:9" ht="14.25" customHeight="1" x14ac:dyDescent="0.3">
      <c r="H790" s="24"/>
      <c r="I790" s="24"/>
    </row>
    <row r="791" spans="8:9" ht="14.25" customHeight="1" x14ac:dyDescent="0.3">
      <c r="H791" s="24"/>
      <c r="I791" s="24"/>
    </row>
    <row r="792" spans="8:9" ht="14.25" customHeight="1" x14ac:dyDescent="0.3">
      <c r="H792" s="24"/>
      <c r="I792" s="24"/>
    </row>
    <row r="793" spans="8:9" ht="14.25" customHeight="1" x14ac:dyDescent="0.3">
      <c r="H793" s="24"/>
      <c r="I793" s="24"/>
    </row>
    <row r="794" spans="8:9" ht="14.25" customHeight="1" x14ac:dyDescent="0.3">
      <c r="H794" s="24"/>
      <c r="I794" s="24"/>
    </row>
    <row r="795" spans="8:9" ht="14.25" customHeight="1" x14ac:dyDescent="0.3">
      <c r="H795" s="24"/>
      <c r="I795" s="24"/>
    </row>
    <row r="796" spans="8:9" ht="14.25" customHeight="1" x14ac:dyDescent="0.3">
      <c r="H796" s="24"/>
      <c r="I796" s="24"/>
    </row>
    <row r="797" spans="8:9" ht="14.25" customHeight="1" x14ac:dyDescent="0.3">
      <c r="H797" s="24"/>
      <c r="I797" s="24"/>
    </row>
    <row r="798" spans="8:9" ht="14.25" customHeight="1" x14ac:dyDescent="0.3">
      <c r="H798" s="24"/>
      <c r="I798" s="24"/>
    </row>
    <row r="799" spans="8:9" ht="14.25" customHeight="1" x14ac:dyDescent="0.3">
      <c r="H799" s="24"/>
      <c r="I799" s="24"/>
    </row>
    <row r="800" spans="8:9" ht="14.25" customHeight="1" x14ac:dyDescent="0.3">
      <c r="H800" s="24"/>
      <c r="I800" s="24"/>
    </row>
    <row r="801" spans="8:9" ht="14.25" customHeight="1" x14ac:dyDescent="0.3">
      <c r="H801" s="24"/>
      <c r="I801" s="24"/>
    </row>
    <row r="802" spans="8:9" ht="14.25" customHeight="1" x14ac:dyDescent="0.3">
      <c r="H802" s="24"/>
      <c r="I802" s="24"/>
    </row>
    <row r="803" spans="8:9" ht="14.25" customHeight="1" x14ac:dyDescent="0.3">
      <c r="H803" s="24"/>
      <c r="I803" s="24"/>
    </row>
    <row r="804" spans="8:9" ht="14.25" customHeight="1" x14ac:dyDescent="0.3">
      <c r="H804" s="24"/>
      <c r="I804" s="24"/>
    </row>
    <row r="805" spans="8:9" ht="14.25" customHeight="1" x14ac:dyDescent="0.3">
      <c r="H805" s="24"/>
      <c r="I805" s="24"/>
    </row>
    <row r="806" spans="8:9" ht="14.25" customHeight="1" x14ac:dyDescent="0.3">
      <c r="H806" s="24"/>
      <c r="I806" s="24"/>
    </row>
    <row r="807" spans="8:9" ht="14.25" customHeight="1" x14ac:dyDescent="0.3">
      <c r="H807" s="24"/>
      <c r="I807" s="24"/>
    </row>
    <row r="808" spans="8:9" ht="14.25" customHeight="1" x14ac:dyDescent="0.3">
      <c r="H808" s="24"/>
      <c r="I808" s="24"/>
    </row>
    <row r="809" spans="8:9" ht="14.25" customHeight="1" x14ac:dyDescent="0.3">
      <c r="H809" s="24"/>
      <c r="I809" s="24"/>
    </row>
    <row r="810" spans="8:9" ht="14.25" customHeight="1" x14ac:dyDescent="0.3">
      <c r="H810" s="24"/>
      <c r="I810" s="24"/>
    </row>
    <row r="811" spans="8:9" ht="14.25" customHeight="1" x14ac:dyDescent="0.3">
      <c r="H811" s="24"/>
      <c r="I811" s="24"/>
    </row>
    <row r="812" spans="8:9" ht="14.25" customHeight="1" x14ac:dyDescent="0.3">
      <c r="H812" s="24"/>
      <c r="I812" s="24"/>
    </row>
    <row r="813" spans="8:9" ht="14.25" customHeight="1" x14ac:dyDescent="0.3">
      <c r="H813" s="24"/>
      <c r="I813" s="24"/>
    </row>
    <row r="814" spans="8:9" ht="14.25" customHeight="1" x14ac:dyDescent="0.3">
      <c r="H814" s="24"/>
      <c r="I814" s="24"/>
    </row>
    <row r="815" spans="8:9" ht="14.25" customHeight="1" x14ac:dyDescent="0.3">
      <c r="H815" s="24"/>
      <c r="I815" s="24"/>
    </row>
    <row r="816" spans="8:9" ht="14.25" customHeight="1" x14ac:dyDescent="0.3">
      <c r="H816" s="24"/>
      <c r="I816" s="24"/>
    </row>
    <row r="817" spans="8:9" ht="14.25" customHeight="1" x14ac:dyDescent="0.3">
      <c r="H817" s="24"/>
      <c r="I817" s="24"/>
    </row>
    <row r="818" spans="8:9" ht="14.25" customHeight="1" x14ac:dyDescent="0.3">
      <c r="H818" s="24"/>
      <c r="I818" s="24"/>
    </row>
    <row r="819" spans="8:9" ht="14.25" customHeight="1" x14ac:dyDescent="0.3">
      <c r="H819" s="24"/>
      <c r="I819" s="24"/>
    </row>
    <row r="820" spans="8:9" ht="14.25" customHeight="1" x14ac:dyDescent="0.3">
      <c r="H820" s="24"/>
      <c r="I820" s="24"/>
    </row>
    <row r="821" spans="8:9" ht="14.25" customHeight="1" x14ac:dyDescent="0.3">
      <c r="H821" s="24"/>
      <c r="I821" s="24"/>
    </row>
    <row r="822" spans="8:9" ht="14.25" customHeight="1" x14ac:dyDescent="0.3">
      <c r="H822" s="24"/>
      <c r="I822" s="24"/>
    </row>
    <row r="823" spans="8:9" ht="14.25" customHeight="1" x14ac:dyDescent="0.3">
      <c r="H823" s="24"/>
      <c r="I823" s="24"/>
    </row>
    <row r="824" spans="8:9" ht="14.25" customHeight="1" x14ac:dyDescent="0.3">
      <c r="H824" s="24"/>
      <c r="I824" s="24"/>
    </row>
    <row r="825" spans="8:9" ht="14.25" customHeight="1" x14ac:dyDescent="0.3">
      <c r="H825" s="24"/>
      <c r="I825" s="24"/>
    </row>
    <row r="826" spans="8:9" ht="14.25" customHeight="1" x14ac:dyDescent="0.3">
      <c r="H826" s="24"/>
      <c r="I826" s="24"/>
    </row>
    <row r="827" spans="8:9" ht="14.25" customHeight="1" x14ac:dyDescent="0.3">
      <c r="H827" s="24"/>
      <c r="I827" s="24"/>
    </row>
    <row r="828" spans="8:9" ht="14.25" customHeight="1" x14ac:dyDescent="0.3">
      <c r="H828" s="24"/>
      <c r="I828" s="24"/>
    </row>
    <row r="829" spans="8:9" ht="14.25" customHeight="1" x14ac:dyDescent="0.3">
      <c r="H829" s="24"/>
      <c r="I829" s="24"/>
    </row>
    <row r="830" spans="8:9" ht="14.25" customHeight="1" x14ac:dyDescent="0.3">
      <c r="H830" s="24"/>
      <c r="I830" s="24"/>
    </row>
    <row r="831" spans="8:9" ht="14.25" customHeight="1" x14ac:dyDescent="0.3">
      <c r="H831" s="24"/>
      <c r="I831" s="24"/>
    </row>
    <row r="832" spans="8:9" ht="14.25" customHeight="1" x14ac:dyDescent="0.3">
      <c r="H832" s="24"/>
      <c r="I832" s="24"/>
    </row>
    <row r="833" spans="8:9" ht="14.25" customHeight="1" x14ac:dyDescent="0.3">
      <c r="H833" s="24"/>
      <c r="I833" s="24"/>
    </row>
    <row r="834" spans="8:9" ht="14.25" customHeight="1" x14ac:dyDescent="0.3">
      <c r="H834" s="24"/>
      <c r="I834" s="24"/>
    </row>
    <row r="835" spans="8:9" ht="14.25" customHeight="1" x14ac:dyDescent="0.3">
      <c r="H835" s="24"/>
      <c r="I835" s="24"/>
    </row>
    <row r="836" spans="8:9" ht="14.25" customHeight="1" x14ac:dyDescent="0.3">
      <c r="H836" s="24"/>
      <c r="I836" s="24"/>
    </row>
    <row r="837" spans="8:9" ht="14.25" customHeight="1" x14ac:dyDescent="0.3">
      <c r="H837" s="24"/>
      <c r="I837" s="24"/>
    </row>
    <row r="838" spans="8:9" ht="14.25" customHeight="1" x14ac:dyDescent="0.3">
      <c r="H838" s="24"/>
      <c r="I838" s="24"/>
    </row>
    <row r="839" spans="8:9" ht="14.25" customHeight="1" x14ac:dyDescent="0.3">
      <c r="H839" s="24"/>
      <c r="I839" s="24"/>
    </row>
    <row r="840" spans="8:9" ht="14.25" customHeight="1" x14ac:dyDescent="0.3">
      <c r="H840" s="24"/>
      <c r="I840" s="24"/>
    </row>
    <row r="841" spans="8:9" ht="14.25" customHeight="1" x14ac:dyDescent="0.3">
      <c r="H841" s="24"/>
      <c r="I841" s="24"/>
    </row>
    <row r="842" spans="8:9" ht="14.25" customHeight="1" x14ac:dyDescent="0.3">
      <c r="H842" s="24"/>
      <c r="I842" s="24"/>
    </row>
    <row r="843" spans="8:9" ht="14.25" customHeight="1" x14ac:dyDescent="0.3">
      <c r="H843" s="24"/>
      <c r="I843" s="24"/>
    </row>
    <row r="844" spans="8:9" ht="14.25" customHeight="1" x14ac:dyDescent="0.3">
      <c r="H844" s="24"/>
      <c r="I844" s="24"/>
    </row>
    <row r="845" spans="8:9" ht="14.25" customHeight="1" x14ac:dyDescent="0.3">
      <c r="H845" s="24"/>
      <c r="I845" s="24"/>
    </row>
    <row r="846" spans="8:9" ht="14.25" customHeight="1" x14ac:dyDescent="0.3">
      <c r="H846" s="24"/>
      <c r="I846" s="24"/>
    </row>
    <row r="847" spans="8:9" ht="14.25" customHeight="1" x14ac:dyDescent="0.3">
      <c r="H847" s="24"/>
      <c r="I847" s="24"/>
    </row>
    <row r="848" spans="8:9" ht="14.25" customHeight="1" x14ac:dyDescent="0.3">
      <c r="H848" s="24"/>
      <c r="I848" s="24"/>
    </row>
    <row r="849" spans="8:9" ht="14.25" customHeight="1" x14ac:dyDescent="0.3">
      <c r="H849" s="24"/>
      <c r="I849" s="24"/>
    </row>
    <row r="850" spans="8:9" ht="14.25" customHeight="1" x14ac:dyDescent="0.3">
      <c r="H850" s="24"/>
      <c r="I850" s="24"/>
    </row>
    <row r="851" spans="8:9" ht="14.25" customHeight="1" x14ac:dyDescent="0.3">
      <c r="H851" s="24"/>
      <c r="I851" s="24"/>
    </row>
    <row r="852" spans="8:9" ht="14.25" customHeight="1" x14ac:dyDescent="0.3">
      <c r="H852" s="24"/>
      <c r="I852" s="24"/>
    </row>
    <row r="853" spans="8:9" ht="14.25" customHeight="1" x14ac:dyDescent="0.3">
      <c r="H853" s="24"/>
      <c r="I853" s="24"/>
    </row>
    <row r="854" spans="8:9" ht="14.25" customHeight="1" x14ac:dyDescent="0.3">
      <c r="H854" s="24"/>
      <c r="I854" s="24"/>
    </row>
    <row r="855" spans="8:9" ht="14.25" customHeight="1" x14ac:dyDescent="0.3">
      <c r="H855" s="24"/>
      <c r="I855" s="24"/>
    </row>
    <row r="856" spans="8:9" ht="14.25" customHeight="1" x14ac:dyDescent="0.3">
      <c r="H856" s="24"/>
      <c r="I856" s="24"/>
    </row>
    <row r="857" spans="8:9" ht="14.25" customHeight="1" x14ac:dyDescent="0.3">
      <c r="H857" s="24"/>
      <c r="I857" s="24"/>
    </row>
    <row r="858" spans="8:9" ht="14.25" customHeight="1" x14ac:dyDescent="0.3">
      <c r="H858" s="24"/>
      <c r="I858" s="24"/>
    </row>
    <row r="859" spans="8:9" ht="14.25" customHeight="1" x14ac:dyDescent="0.3">
      <c r="H859" s="24"/>
      <c r="I859" s="24"/>
    </row>
    <row r="860" spans="8:9" ht="14.25" customHeight="1" x14ac:dyDescent="0.3">
      <c r="H860" s="24"/>
      <c r="I860" s="24"/>
    </row>
    <row r="861" spans="8:9" ht="14.25" customHeight="1" x14ac:dyDescent="0.3">
      <c r="H861" s="24"/>
      <c r="I861" s="24"/>
    </row>
    <row r="862" spans="8:9" ht="14.25" customHeight="1" x14ac:dyDescent="0.3">
      <c r="H862" s="24"/>
      <c r="I862" s="24"/>
    </row>
    <row r="863" spans="8:9" ht="14.25" customHeight="1" x14ac:dyDescent="0.3">
      <c r="H863" s="24"/>
      <c r="I863" s="24"/>
    </row>
    <row r="864" spans="8:9" ht="14.25" customHeight="1" x14ac:dyDescent="0.3">
      <c r="H864" s="24"/>
      <c r="I864" s="24"/>
    </row>
    <row r="865" spans="8:9" ht="14.25" customHeight="1" x14ac:dyDescent="0.3">
      <c r="H865" s="24"/>
      <c r="I865" s="24"/>
    </row>
    <row r="866" spans="8:9" ht="14.25" customHeight="1" x14ac:dyDescent="0.3">
      <c r="H866" s="24"/>
      <c r="I866" s="24"/>
    </row>
    <row r="867" spans="8:9" ht="14.25" customHeight="1" x14ac:dyDescent="0.3">
      <c r="H867" s="24"/>
      <c r="I867" s="24"/>
    </row>
    <row r="868" spans="8:9" ht="14.25" customHeight="1" x14ac:dyDescent="0.3">
      <c r="H868" s="24"/>
      <c r="I868" s="24"/>
    </row>
    <row r="869" spans="8:9" ht="14.25" customHeight="1" x14ac:dyDescent="0.3">
      <c r="H869" s="24"/>
      <c r="I869" s="24"/>
    </row>
    <row r="870" spans="8:9" ht="14.25" customHeight="1" x14ac:dyDescent="0.3">
      <c r="H870" s="24"/>
      <c r="I870" s="24"/>
    </row>
    <row r="871" spans="8:9" ht="14.25" customHeight="1" x14ac:dyDescent="0.3">
      <c r="H871" s="24"/>
      <c r="I871" s="24"/>
    </row>
    <row r="872" spans="8:9" ht="14.25" customHeight="1" x14ac:dyDescent="0.3">
      <c r="H872" s="24"/>
      <c r="I872" s="24"/>
    </row>
    <row r="873" spans="8:9" ht="14.25" customHeight="1" x14ac:dyDescent="0.3">
      <c r="H873" s="24"/>
      <c r="I873" s="24"/>
    </row>
    <row r="874" spans="8:9" ht="14.25" customHeight="1" x14ac:dyDescent="0.3">
      <c r="H874" s="24"/>
      <c r="I874" s="24"/>
    </row>
    <row r="875" spans="8:9" ht="14.25" customHeight="1" x14ac:dyDescent="0.3">
      <c r="H875" s="24"/>
      <c r="I875" s="24"/>
    </row>
    <row r="876" spans="8:9" ht="14.25" customHeight="1" x14ac:dyDescent="0.3">
      <c r="H876" s="24"/>
      <c r="I876" s="24"/>
    </row>
    <row r="877" spans="8:9" ht="14.25" customHeight="1" x14ac:dyDescent="0.3">
      <c r="H877" s="24"/>
      <c r="I877" s="24"/>
    </row>
    <row r="878" spans="8:9" ht="14.25" customHeight="1" x14ac:dyDescent="0.3">
      <c r="H878" s="24"/>
      <c r="I878" s="24"/>
    </row>
    <row r="879" spans="8:9" ht="14.25" customHeight="1" x14ac:dyDescent="0.3">
      <c r="H879" s="24"/>
      <c r="I879" s="24"/>
    </row>
    <row r="880" spans="8:9" ht="14.25" customHeight="1" x14ac:dyDescent="0.3">
      <c r="H880" s="24"/>
      <c r="I880" s="24"/>
    </row>
    <row r="881" spans="8:9" ht="14.25" customHeight="1" x14ac:dyDescent="0.3">
      <c r="H881" s="24"/>
      <c r="I881" s="24"/>
    </row>
    <row r="882" spans="8:9" ht="14.25" customHeight="1" x14ac:dyDescent="0.3">
      <c r="H882" s="24"/>
      <c r="I882" s="24"/>
    </row>
    <row r="883" spans="8:9" ht="14.25" customHeight="1" x14ac:dyDescent="0.3">
      <c r="H883" s="24"/>
      <c r="I883" s="24"/>
    </row>
    <row r="884" spans="8:9" ht="14.25" customHeight="1" x14ac:dyDescent="0.3">
      <c r="H884" s="24"/>
      <c r="I884" s="24"/>
    </row>
    <row r="885" spans="8:9" ht="14.25" customHeight="1" x14ac:dyDescent="0.3">
      <c r="H885" s="24"/>
      <c r="I885" s="24"/>
    </row>
    <row r="886" spans="8:9" ht="14.25" customHeight="1" x14ac:dyDescent="0.3">
      <c r="H886" s="24"/>
      <c r="I886" s="24"/>
    </row>
    <row r="887" spans="8:9" ht="14.25" customHeight="1" x14ac:dyDescent="0.3">
      <c r="H887" s="24"/>
      <c r="I887" s="24"/>
    </row>
    <row r="888" spans="8:9" ht="14.25" customHeight="1" x14ac:dyDescent="0.3">
      <c r="H888" s="24"/>
      <c r="I888" s="24"/>
    </row>
    <row r="889" spans="8:9" ht="14.25" customHeight="1" x14ac:dyDescent="0.3">
      <c r="H889" s="24"/>
      <c r="I889" s="24"/>
    </row>
    <row r="890" spans="8:9" ht="14.25" customHeight="1" x14ac:dyDescent="0.3">
      <c r="H890" s="24"/>
      <c r="I890" s="24"/>
    </row>
    <row r="891" spans="8:9" ht="14.25" customHeight="1" x14ac:dyDescent="0.3">
      <c r="H891" s="24"/>
      <c r="I891" s="24"/>
    </row>
    <row r="892" spans="8:9" ht="14.25" customHeight="1" x14ac:dyDescent="0.3">
      <c r="H892" s="24"/>
      <c r="I892" s="24"/>
    </row>
    <row r="893" spans="8:9" ht="14.25" customHeight="1" x14ac:dyDescent="0.3">
      <c r="H893" s="24"/>
      <c r="I893" s="24"/>
    </row>
    <row r="894" spans="8:9" ht="14.25" customHeight="1" x14ac:dyDescent="0.3">
      <c r="H894" s="24"/>
      <c r="I894" s="24"/>
    </row>
    <row r="895" spans="8:9" ht="14.25" customHeight="1" x14ac:dyDescent="0.3">
      <c r="H895" s="24"/>
      <c r="I895" s="24"/>
    </row>
    <row r="896" spans="8:9" ht="14.25" customHeight="1" x14ac:dyDescent="0.3">
      <c r="H896" s="24"/>
      <c r="I896" s="24"/>
    </row>
    <row r="897" spans="8:9" ht="14.25" customHeight="1" x14ac:dyDescent="0.3">
      <c r="H897" s="24"/>
      <c r="I897" s="24"/>
    </row>
    <row r="898" spans="8:9" ht="14.25" customHeight="1" x14ac:dyDescent="0.3">
      <c r="H898" s="24"/>
      <c r="I898" s="24"/>
    </row>
    <row r="899" spans="8:9" ht="14.25" customHeight="1" x14ac:dyDescent="0.3">
      <c r="H899" s="24"/>
      <c r="I899" s="24"/>
    </row>
    <row r="900" spans="8:9" ht="14.25" customHeight="1" x14ac:dyDescent="0.3">
      <c r="H900" s="24"/>
      <c r="I900" s="24"/>
    </row>
    <row r="901" spans="8:9" ht="14.25" customHeight="1" x14ac:dyDescent="0.3">
      <c r="H901" s="24"/>
      <c r="I901" s="24"/>
    </row>
    <row r="902" spans="8:9" ht="14.25" customHeight="1" x14ac:dyDescent="0.3">
      <c r="H902" s="24"/>
      <c r="I902" s="24"/>
    </row>
    <row r="903" spans="8:9" ht="14.25" customHeight="1" x14ac:dyDescent="0.3">
      <c r="H903" s="24"/>
      <c r="I903" s="24"/>
    </row>
    <row r="904" spans="8:9" ht="14.25" customHeight="1" x14ac:dyDescent="0.3">
      <c r="H904" s="24"/>
      <c r="I904" s="24"/>
    </row>
    <row r="905" spans="8:9" ht="14.25" customHeight="1" x14ac:dyDescent="0.3">
      <c r="H905" s="24"/>
      <c r="I905" s="24"/>
    </row>
    <row r="906" spans="8:9" ht="14.25" customHeight="1" x14ac:dyDescent="0.3">
      <c r="H906" s="24"/>
      <c r="I906" s="24"/>
    </row>
    <row r="907" spans="8:9" ht="14.25" customHeight="1" x14ac:dyDescent="0.3">
      <c r="H907" s="24"/>
      <c r="I907" s="24"/>
    </row>
    <row r="908" spans="8:9" ht="14.25" customHeight="1" x14ac:dyDescent="0.3">
      <c r="H908" s="24"/>
      <c r="I908" s="24"/>
    </row>
    <row r="909" spans="8:9" ht="14.25" customHeight="1" x14ac:dyDescent="0.3">
      <c r="H909" s="24"/>
      <c r="I909" s="24"/>
    </row>
    <row r="910" spans="8:9" ht="14.25" customHeight="1" x14ac:dyDescent="0.3">
      <c r="H910" s="24"/>
      <c r="I910" s="24"/>
    </row>
    <row r="911" spans="8:9" ht="14.25" customHeight="1" x14ac:dyDescent="0.3">
      <c r="H911" s="24"/>
      <c r="I911" s="24"/>
    </row>
    <row r="912" spans="8:9" ht="14.25" customHeight="1" x14ac:dyDescent="0.3">
      <c r="H912" s="24"/>
      <c r="I912" s="24"/>
    </row>
    <row r="913" spans="8:9" ht="14.25" customHeight="1" x14ac:dyDescent="0.3">
      <c r="H913" s="24"/>
      <c r="I913" s="24"/>
    </row>
    <row r="914" spans="8:9" ht="14.25" customHeight="1" x14ac:dyDescent="0.3">
      <c r="H914" s="24"/>
      <c r="I914" s="24"/>
    </row>
    <row r="915" spans="8:9" ht="14.25" customHeight="1" x14ac:dyDescent="0.3">
      <c r="H915" s="24"/>
      <c r="I915" s="24"/>
    </row>
    <row r="916" spans="8:9" ht="14.25" customHeight="1" x14ac:dyDescent="0.3">
      <c r="H916" s="24"/>
      <c r="I916" s="24"/>
    </row>
    <row r="917" spans="8:9" ht="14.25" customHeight="1" x14ac:dyDescent="0.3">
      <c r="H917" s="24"/>
      <c r="I917" s="24"/>
    </row>
    <row r="918" spans="8:9" ht="14.25" customHeight="1" x14ac:dyDescent="0.3">
      <c r="H918" s="24"/>
      <c r="I918" s="24"/>
    </row>
    <row r="919" spans="8:9" ht="14.25" customHeight="1" x14ac:dyDescent="0.3">
      <c r="H919" s="24"/>
      <c r="I919" s="24"/>
    </row>
    <row r="920" spans="8:9" ht="14.25" customHeight="1" x14ac:dyDescent="0.3">
      <c r="H920" s="24"/>
      <c r="I920" s="24"/>
    </row>
    <row r="921" spans="8:9" ht="14.25" customHeight="1" x14ac:dyDescent="0.3">
      <c r="H921" s="24"/>
      <c r="I921" s="24"/>
    </row>
    <row r="922" spans="8:9" ht="14.25" customHeight="1" x14ac:dyDescent="0.3">
      <c r="H922" s="24"/>
      <c r="I922" s="24"/>
    </row>
    <row r="923" spans="8:9" ht="14.25" customHeight="1" x14ac:dyDescent="0.3">
      <c r="H923" s="24"/>
      <c r="I923" s="24"/>
    </row>
    <row r="924" spans="8:9" ht="14.25" customHeight="1" x14ac:dyDescent="0.3">
      <c r="H924" s="24"/>
      <c r="I924" s="24"/>
    </row>
    <row r="925" spans="8:9" ht="14.25" customHeight="1" x14ac:dyDescent="0.3">
      <c r="H925" s="24"/>
      <c r="I925" s="24"/>
    </row>
    <row r="926" spans="8:9" ht="14.25" customHeight="1" x14ac:dyDescent="0.3">
      <c r="H926" s="24"/>
      <c r="I926" s="24"/>
    </row>
    <row r="927" spans="8:9" ht="14.25" customHeight="1" x14ac:dyDescent="0.3">
      <c r="H927" s="24"/>
      <c r="I927" s="24"/>
    </row>
    <row r="928" spans="8:9" ht="14.25" customHeight="1" x14ac:dyDescent="0.3">
      <c r="H928" s="24"/>
      <c r="I928" s="24"/>
    </row>
    <row r="929" spans="8:9" ht="14.25" customHeight="1" x14ac:dyDescent="0.3">
      <c r="H929" s="24"/>
      <c r="I929" s="24"/>
    </row>
    <row r="930" spans="8:9" ht="14.25" customHeight="1" x14ac:dyDescent="0.3">
      <c r="H930" s="24"/>
      <c r="I930" s="24"/>
    </row>
    <row r="931" spans="8:9" ht="14.25" customHeight="1" x14ac:dyDescent="0.3">
      <c r="H931" s="24"/>
      <c r="I931" s="24"/>
    </row>
    <row r="932" spans="8:9" ht="14.25" customHeight="1" x14ac:dyDescent="0.3">
      <c r="H932" s="24"/>
      <c r="I932" s="24"/>
    </row>
    <row r="933" spans="8:9" ht="14.25" customHeight="1" x14ac:dyDescent="0.3">
      <c r="H933" s="24"/>
      <c r="I933" s="24"/>
    </row>
    <row r="934" spans="8:9" ht="14.25" customHeight="1" x14ac:dyDescent="0.3">
      <c r="H934" s="24"/>
      <c r="I934" s="24"/>
    </row>
    <row r="935" spans="8:9" ht="14.25" customHeight="1" x14ac:dyDescent="0.3">
      <c r="H935" s="24"/>
      <c r="I935" s="24"/>
    </row>
    <row r="936" spans="8:9" ht="14.25" customHeight="1" x14ac:dyDescent="0.3">
      <c r="H936" s="24"/>
      <c r="I936" s="24"/>
    </row>
    <row r="937" spans="8:9" ht="14.25" customHeight="1" x14ac:dyDescent="0.3">
      <c r="H937" s="24"/>
      <c r="I937" s="24"/>
    </row>
    <row r="938" spans="8:9" ht="14.25" customHeight="1" x14ac:dyDescent="0.3">
      <c r="H938" s="24"/>
      <c r="I938" s="24"/>
    </row>
    <row r="939" spans="8:9" ht="14.25" customHeight="1" x14ac:dyDescent="0.3">
      <c r="H939" s="24"/>
      <c r="I939" s="24"/>
    </row>
    <row r="940" spans="8:9" ht="14.25" customHeight="1" x14ac:dyDescent="0.3">
      <c r="H940" s="24"/>
      <c r="I940" s="24"/>
    </row>
    <row r="941" spans="8:9" ht="14.25" customHeight="1" x14ac:dyDescent="0.3">
      <c r="H941" s="24"/>
      <c r="I941" s="24"/>
    </row>
    <row r="942" spans="8:9" ht="14.25" customHeight="1" x14ac:dyDescent="0.3">
      <c r="H942" s="24"/>
      <c r="I942" s="24"/>
    </row>
    <row r="943" spans="8:9" ht="14.25" customHeight="1" x14ac:dyDescent="0.3">
      <c r="H943" s="24"/>
      <c r="I943" s="24"/>
    </row>
    <row r="944" spans="8:9" ht="14.25" customHeight="1" x14ac:dyDescent="0.3">
      <c r="H944" s="24"/>
      <c r="I944" s="24"/>
    </row>
    <row r="945" spans="8:9" ht="14.25" customHeight="1" x14ac:dyDescent="0.3">
      <c r="H945" s="24"/>
      <c r="I945" s="24"/>
    </row>
    <row r="946" spans="8:9" ht="14.25" customHeight="1" x14ac:dyDescent="0.3">
      <c r="H946" s="24"/>
      <c r="I946" s="24"/>
    </row>
    <row r="947" spans="8:9" ht="14.25" customHeight="1" x14ac:dyDescent="0.3">
      <c r="H947" s="24"/>
      <c r="I947" s="24"/>
    </row>
    <row r="948" spans="8:9" ht="14.25" customHeight="1" x14ac:dyDescent="0.3">
      <c r="H948" s="24"/>
      <c r="I948" s="24"/>
    </row>
    <row r="949" spans="8:9" ht="14.25" customHeight="1" x14ac:dyDescent="0.3">
      <c r="H949" s="24"/>
      <c r="I949" s="24"/>
    </row>
    <row r="950" spans="8:9" ht="14.25" customHeight="1" x14ac:dyDescent="0.3">
      <c r="H950" s="24"/>
      <c r="I950" s="24"/>
    </row>
    <row r="951" spans="8:9" ht="14.25" customHeight="1" x14ac:dyDescent="0.3">
      <c r="H951" s="24"/>
      <c r="I951" s="24"/>
    </row>
    <row r="952" spans="8:9" ht="14.25" customHeight="1" x14ac:dyDescent="0.3">
      <c r="H952" s="24"/>
      <c r="I952" s="24"/>
    </row>
    <row r="953" spans="8:9" ht="14.25" customHeight="1" x14ac:dyDescent="0.3">
      <c r="H953" s="24"/>
      <c r="I953" s="24"/>
    </row>
    <row r="954" spans="8:9" ht="14.25" customHeight="1" x14ac:dyDescent="0.3">
      <c r="H954" s="24"/>
      <c r="I954" s="24"/>
    </row>
    <row r="955" spans="8:9" ht="14.25" customHeight="1" x14ac:dyDescent="0.3">
      <c r="H955" s="24"/>
      <c r="I955" s="24"/>
    </row>
    <row r="956" spans="8:9" ht="14.25" customHeight="1" x14ac:dyDescent="0.3">
      <c r="H956" s="24"/>
      <c r="I956" s="24"/>
    </row>
    <row r="957" spans="8:9" ht="14.25" customHeight="1" x14ac:dyDescent="0.3">
      <c r="H957" s="24"/>
      <c r="I957" s="24"/>
    </row>
    <row r="958" spans="8:9" ht="14.25" customHeight="1" x14ac:dyDescent="0.3">
      <c r="H958" s="24"/>
      <c r="I958" s="24"/>
    </row>
    <row r="959" spans="8:9" ht="14.25" customHeight="1" x14ac:dyDescent="0.3">
      <c r="H959" s="24"/>
      <c r="I959" s="24"/>
    </row>
    <row r="960" spans="8:9" ht="14.25" customHeight="1" x14ac:dyDescent="0.3">
      <c r="H960" s="24"/>
      <c r="I960" s="24"/>
    </row>
    <row r="961" spans="8:9" ht="14.25" customHeight="1" x14ac:dyDescent="0.3">
      <c r="H961" s="24"/>
      <c r="I961" s="24"/>
    </row>
    <row r="962" spans="8:9" ht="14.25" customHeight="1" x14ac:dyDescent="0.3">
      <c r="H962" s="24"/>
      <c r="I962" s="24"/>
    </row>
    <row r="963" spans="8:9" ht="14.25" customHeight="1" x14ac:dyDescent="0.3">
      <c r="H963" s="24"/>
      <c r="I963" s="24"/>
    </row>
    <row r="964" spans="8:9" ht="14.25" customHeight="1" x14ac:dyDescent="0.3">
      <c r="H964" s="24"/>
      <c r="I964" s="24"/>
    </row>
    <row r="965" spans="8:9" ht="14.25" customHeight="1" x14ac:dyDescent="0.3">
      <c r="H965" s="24"/>
      <c r="I965" s="24"/>
    </row>
    <row r="966" spans="8:9" ht="14.25" customHeight="1" x14ac:dyDescent="0.3">
      <c r="H966" s="24"/>
      <c r="I966" s="24"/>
    </row>
    <row r="967" spans="8:9" ht="14.25" customHeight="1" x14ac:dyDescent="0.3">
      <c r="H967" s="24"/>
      <c r="I967" s="24"/>
    </row>
    <row r="968" spans="8:9" ht="14.25" customHeight="1" x14ac:dyDescent="0.3">
      <c r="H968" s="24"/>
      <c r="I968" s="24"/>
    </row>
    <row r="969" spans="8:9" ht="14.25" customHeight="1" x14ac:dyDescent="0.3">
      <c r="H969" s="24"/>
      <c r="I969" s="24"/>
    </row>
    <row r="970" spans="8:9" ht="14.25" customHeight="1" x14ac:dyDescent="0.3">
      <c r="H970" s="24"/>
      <c r="I970" s="24"/>
    </row>
    <row r="971" spans="8:9" ht="14.25" customHeight="1" x14ac:dyDescent="0.3">
      <c r="H971" s="24"/>
      <c r="I971" s="24"/>
    </row>
    <row r="972" spans="8:9" ht="14.25" customHeight="1" x14ac:dyDescent="0.3">
      <c r="H972" s="24"/>
      <c r="I972" s="24"/>
    </row>
    <row r="973" spans="8:9" ht="14.25" customHeight="1" x14ac:dyDescent="0.3">
      <c r="H973" s="24"/>
      <c r="I973" s="24"/>
    </row>
    <row r="974" spans="8:9" ht="14.25" customHeight="1" x14ac:dyDescent="0.3">
      <c r="H974" s="24"/>
      <c r="I974" s="24"/>
    </row>
    <row r="975" spans="8:9" ht="14.25" customHeight="1" x14ac:dyDescent="0.3">
      <c r="H975" s="24"/>
      <c r="I975" s="24"/>
    </row>
    <row r="976" spans="8:9" ht="14.25" customHeight="1" x14ac:dyDescent="0.3">
      <c r="H976" s="24"/>
      <c r="I976" s="24"/>
    </row>
    <row r="977" spans="8:9" ht="14.25" customHeight="1" x14ac:dyDescent="0.3">
      <c r="H977" s="24"/>
      <c r="I977" s="24"/>
    </row>
    <row r="978" spans="8:9" ht="14.25" customHeight="1" x14ac:dyDescent="0.3">
      <c r="H978" s="24"/>
      <c r="I978" s="24"/>
    </row>
    <row r="979" spans="8:9" ht="14.25" customHeight="1" x14ac:dyDescent="0.3">
      <c r="H979" s="24"/>
      <c r="I979" s="24"/>
    </row>
    <row r="980" spans="8:9" ht="14.25" customHeight="1" x14ac:dyDescent="0.3">
      <c r="H980" s="24"/>
      <c r="I980" s="24"/>
    </row>
    <row r="981" spans="8:9" ht="14.25" customHeight="1" x14ac:dyDescent="0.3">
      <c r="H981" s="24"/>
      <c r="I981" s="24"/>
    </row>
    <row r="982" spans="8:9" ht="14.25" customHeight="1" x14ac:dyDescent="0.3">
      <c r="H982" s="24"/>
      <c r="I982" s="24"/>
    </row>
    <row r="983" spans="8:9" ht="14.25" customHeight="1" x14ac:dyDescent="0.3">
      <c r="H983" s="24"/>
      <c r="I983" s="24"/>
    </row>
    <row r="984" spans="8:9" ht="14.25" customHeight="1" x14ac:dyDescent="0.3">
      <c r="H984" s="24"/>
      <c r="I984" s="24"/>
    </row>
    <row r="985" spans="8:9" ht="14.25" customHeight="1" x14ac:dyDescent="0.3">
      <c r="H985" s="24"/>
      <c r="I985" s="24"/>
    </row>
    <row r="986" spans="8:9" ht="14.25" customHeight="1" x14ac:dyDescent="0.3">
      <c r="H986" s="24"/>
      <c r="I986" s="24"/>
    </row>
    <row r="987" spans="8:9" ht="14.25" customHeight="1" x14ac:dyDescent="0.3">
      <c r="H987" s="24"/>
      <c r="I987" s="24"/>
    </row>
    <row r="988" spans="8:9" ht="14.25" customHeight="1" x14ac:dyDescent="0.3">
      <c r="H988" s="24"/>
      <c r="I988" s="24"/>
    </row>
    <row r="989" spans="8:9" ht="14.25" customHeight="1" x14ac:dyDescent="0.3">
      <c r="H989" s="24"/>
      <c r="I989" s="24"/>
    </row>
    <row r="990" spans="8:9" ht="14.25" customHeight="1" x14ac:dyDescent="0.3">
      <c r="H990" s="24"/>
      <c r="I990" s="24"/>
    </row>
    <row r="991" spans="8:9" ht="14.25" customHeight="1" x14ac:dyDescent="0.3">
      <c r="H991" s="24"/>
      <c r="I991" s="24"/>
    </row>
    <row r="992" spans="8:9" ht="14.25" customHeight="1" x14ac:dyDescent="0.3">
      <c r="H992" s="24"/>
      <c r="I992" s="24"/>
    </row>
    <row r="993" spans="8:9" ht="14.25" customHeight="1" x14ac:dyDescent="0.3">
      <c r="H993" s="24"/>
      <c r="I993" s="24"/>
    </row>
    <row r="994" spans="8:9" ht="14.25" customHeight="1" x14ac:dyDescent="0.3">
      <c r="H994" s="24"/>
      <c r="I994" s="24"/>
    </row>
    <row r="995" spans="8:9" ht="14.25" customHeight="1" x14ac:dyDescent="0.3">
      <c r="H995" s="24"/>
      <c r="I995" s="24"/>
    </row>
    <row r="996" spans="8:9" ht="14.25" customHeight="1" x14ac:dyDescent="0.3">
      <c r="H996" s="24"/>
      <c r="I996" s="24"/>
    </row>
    <row r="997" spans="8:9" ht="14.25" customHeight="1" x14ac:dyDescent="0.3">
      <c r="H997" s="24"/>
      <c r="I997" s="24"/>
    </row>
    <row r="998" spans="8:9" ht="14.25" customHeight="1" x14ac:dyDescent="0.3">
      <c r="H998" s="24"/>
      <c r="I998" s="24"/>
    </row>
    <row r="999" spans="8:9" ht="14.25" customHeight="1" x14ac:dyDescent="0.3">
      <c r="H999" s="24"/>
      <c r="I999" s="24"/>
    </row>
    <row r="1000" spans="8:9" ht="14.25" customHeight="1" x14ac:dyDescent="0.3">
      <c r="H1000" s="24"/>
      <c r="I1000" s="24"/>
    </row>
  </sheetData>
  <mergeCells count="2">
    <mergeCell ref="G11:J11"/>
    <mergeCell ref="G19:I19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'1) Planilla maestra insumos'!$B$3:$B$98</xm:f>
          </x14:formula1>
          <xm:sqref>G12:G14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1) Planilla maestra insumos</vt:lpstr>
      <vt:lpstr>2) Recetas</vt:lpstr>
      <vt:lpstr>3) costo mp</vt:lpstr>
      <vt:lpstr>4) Packaging</vt:lpstr>
      <vt:lpstr>5) Costo final variables</vt:lpstr>
      <vt:lpstr>5) Costo total</vt:lpstr>
      <vt:lpstr>Tdinamica</vt:lpstr>
      <vt:lpstr>finales</vt:lpstr>
      <vt:lpstr>Lista de precios final</vt:lpstr>
      <vt:lpstr>Anexo 1</vt:lpstr>
      <vt:lpstr>Insumos</vt:lpstr>
      <vt:lpstr>Packaging</vt:lpstr>
      <vt:lpstr>Recetas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Gimenez</dc:creator>
  <cp:lastModifiedBy>Tomas Gimenez</cp:lastModifiedBy>
  <dcterms:created xsi:type="dcterms:W3CDTF">2015-06-05T18:17:20Z</dcterms:created>
  <dcterms:modified xsi:type="dcterms:W3CDTF">2026-08-06T22:11:44Z</dcterms:modified>
</cp:coreProperties>
</file>